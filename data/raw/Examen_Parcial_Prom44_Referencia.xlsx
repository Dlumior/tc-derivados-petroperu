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isco E\ABC 1985\Curso_Derivados\"/>
    </mc:Choice>
  </mc:AlternateContent>
  <xr:revisionPtr revIDLastSave="0" documentId="13_ncr:1_{64618B6F-A1DE-412C-BC1F-516CB2FCE3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g 1" sheetId="17" r:id="rId1"/>
    <sheet name="Preg 2" sheetId="18" r:id="rId2"/>
    <sheet name="Preg 3" sheetId="14" r:id="rId3"/>
    <sheet name="Preg 4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6" l="1"/>
  <c r="D43" i="18"/>
  <c r="D58" i="17"/>
  <c r="D44" i="16" l="1"/>
  <c r="D45" i="16" s="1"/>
  <c r="E24" i="16"/>
  <c r="H40" i="16" s="1"/>
  <c r="D24" i="16"/>
  <c r="D18" i="16"/>
  <c r="D31" i="16" s="1"/>
  <c r="D25" i="16" l="1"/>
  <c r="E31" i="16"/>
  <c r="E44" i="16"/>
  <c r="D34" i="16"/>
  <c r="D29" i="16"/>
  <c r="F29" i="16" s="1"/>
  <c r="H29" i="16" s="1"/>
  <c r="F44" i="16" l="1"/>
  <c r="E32" i="16"/>
  <c r="G32" i="16" s="1"/>
  <c r="G33" i="16" l="1"/>
  <c r="G34" i="16" s="1"/>
  <c r="E34" i="16"/>
  <c r="F34" i="16" l="1"/>
  <c r="E45" i="16"/>
  <c r="F45" i="16" l="1"/>
  <c r="E46" i="16"/>
  <c r="F46" i="16" s="1"/>
  <c r="H35" i="16"/>
  <c r="H34" i="16"/>
  <c r="E75" i="18" l="1"/>
  <c r="D75" i="18"/>
  <c r="E74" i="18"/>
  <c r="D74" i="18"/>
  <c r="E50" i="18"/>
  <c r="E49" i="18"/>
  <c r="C28" i="18"/>
  <c r="C27" i="18"/>
  <c r="D23" i="18"/>
  <c r="E78" i="18" s="1"/>
  <c r="C23" i="18"/>
  <c r="D16" i="18"/>
  <c r="E51" i="18" l="1"/>
  <c r="D78" i="18"/>
  <c r="C31" i="18"/>
  <c r="E76" i="18" l="1"/>
  <c r="E77" i="18" s="1"/>
  <c r="D76" i="18"/>
  <c r="D77" i="18" s="1"/>
  <c r="D70" i="17"/>
  <c r="D72" i="17" s="1"/>
  <c r="D73" i="17" s="1"/>
  <c r="D74" i="17" s="1"/>
  <c r="D60" i="17"/>
  <c r="D57" i="17"/>
  <c r="D50" i="17"/>
  <c r="D49" i="17"/>
  <c r="D39" i="17"/>
  <c r="D20" i="17"/>
  <c r="D21" i="17" s="1"/>
  <c r="D22" i="17" s="1"/>
  <c r="D24" i="17" s="1"/>
  <c r="D61" i="17" l="1"/>
  <c r="D62" i="17" s="1"/>
  <c r="D75" i="17" s="1"/>
  <c r="D77" i="17" s="1"/>
  <c r="D38" i="17"/>
  <c r="D41" i="17" s="1"/>
  <c r="E51" i="17"/>
  <c r="D29" i="17"/>
  <c r="E33" i="17" s="1"/>
  <c r="E49" i="17"/>
  <c r="D52" i="17"/>
  <c r="E52" i="17" l="1"/>
</calcChain>
</file>

<file path=xl/sharedStrings.xml><?xml version="1.0" encoding="utf-8"?>
<sst xmlns="http://schemas.openxmlformats.org/spreadsheetml/2006/main" count="359" uniqueCount="277">
  <si>
    <t>Universidad del Pacífico</t>
  </si>
  <si>
    <t>Vencimiento</t>
  </si>
  <si>
    <t>Total</t>
  </si>
  <si>
    <t>No hay una sola forma de presentar y explicar los cálculos correctos.</t>
  </si>
  <si>
    <t>S</t>
  </si>
  <si>
    <t>PCC</t>
  </si>
  <si>
    <t>PCG</t>
  </si>
  <si>
    <t>Maestría:</t>
  </si>
  <si>
    <t xml:space="preserve">Curso: </t>
  </si>
  <si>
    <t>Gestión de Derivados Financieros</t>
  </si>
  <si>
    <t>Profesor:</t>
  </si>
  <si>
    <t>Alberto Humala</t>
  </si>
  <si>
    <t>Estas notas son sólo referenciales de los conceptos que deben</t>
  </si>
  <si>
    <t>estar presentes en una respuesta completa a cada pregunta.</t>
  </si>
  <si>
    <t>Los cálculos deben estar correctos para obtener puntaje completo.</t>
  </si>
  <si>
    <t>Observación:</t>
  </si>
  <si>
    <t>Riesgo:</t>
  </si>
  <si>
    <t>Maestría de Finanzas</t>
  </si>
  <si>
    <t>PCC + PND</t>
  </si>
  <si>
    <t>Maestría en Finanzas</t>
  </si>
  <si>
    <t>Evaluación:</t>
  </si>
  <si>
    <t>Examen Parcial - Referencia Solución</t>
  </si>
  <si>
    <t>Corporativo local</t>
  </si>
  <si>
    <t>Descalce:</t>
  </si>
  <si>
    <t>PCC:</t>
  </si>
  <si>
    <t xml:space="preserve">Riesgo: </t>
  </si>
  <si>
    <t>Identifica riesgo y posición de cobertura</t>
  </si>
  <si>
    <t>Cobertura:</t>
  </si>
  <si>
    <t>Payoff Fwd</t>
  </si>
  <si>
    <t>Registro de posición abierta: Valorización del Fwd:</t>
  </si>
  <si>
    <t>Spot sube:</t>
  </si>
  <si>
    <t>So &gt; F</t>
  </si>
  <si>
    <t>VF &gt; 0</t>
  </si>
  <si>
    <t>Se registrra en Activo</t>
  </si>
  <si>
    <t>Spot cae:</t>
  </si>
  <si>
    <t>So &lt; F</t>
  </si>
  <si>
    <t>VF &lt; 0</t>
  </si>
  <si>
    <t>Se registrra en Pasivo</t>
  </si>
  <si>
    <t>El registro como activo o pasivo depende de la valorización del fwd</t>
  </si>
  <si>
    <t>Pero, si su valor es negativo, se registra en pasivo.</t>
  </si>
  <si>
    <t>Apreciación</t>
  </si>
  <si>
    <t>a)</t>
  </si>
  <si>
    <t>Tiempo transcurrido</t>
  </si>
  <si>
    <t>b)</t>
  </si>
  <si>
    <t>Resultado depende de tipo de fwd que vence:</t>
  </si>
  <si>
    <t>Con entrega:</t>
  </si>
  <si>
    <t xml:space="preserve">PCG = </t>
  </si>
  <si>
    <t>(AME - PME) + (Fwd Compra - Fwd Venta)</t>
  </si>
  <si>
    <t>PCG se mantiene constante</t>
  </si>
  <si>
    <t>Precisa no hay impacto cambiario.</t>
  </si>
  <si>
    <t>Sin entrega:</t>
  </si>
  <si>
    <t>c)</t>
  </si>
  <si>
    <t>Por tanto:</t>
  </si>
  <si>
    <t>Impacto en PND y PCC.</t>
  </si>
  <si>
    <t xml:space="preserve">Por tanto: </t>
  </si>
  <si>
    <t>F-St</t>
  </si>
  <si>
    <t>Refiere valuación del fwd o presenta gráfico</t>
  </si>
  <si>
    <t>No siempre. Sólo si es NDF.</t>
  </si>
  <si>
    <t>Identifica registro en activo asociado a valor (no a payoff).</t>
  </si>
  <si>
    <t>Identifica registro en pasivo asociado a valor (no a payoff).</t>
  </si>
  <si>
    <t>1)</t>
  </si>
  <si>
    <t>Empresa exportadora de cobre</t>
  </si>
  <si>
    <t>Caída de cotización</t>
  </si>
  <si>
    <r>
      <rPr>
        <sz val="11"/>
        <color theme="1"/>
        <rFont val="Arial"/>
        <family val="2"/>
      </rPr>
      <t xml:space="preserve">Precio </t>
    </r>
    <r>
      <rPr>
        <i/>
        <sz val="11"/>
        <color theme="1"/>
        <rFont val="Arial"/>
        <family val="2"/>
      </rPr>
      <t>Spot</t>
    </r>
  </si>
  <si>
    <t>Tasa interés libre riesgo</t>
  </si>
  <si>
    <t>Tiempo en meses</t>
  </si>
  <si>
    <t>Tiempo en años</t>
  </si>
  <si>
    <t>Exp(rT)</t>
  </si>
  <si>
    <r>
      <rPr>
        <b/>
        <i/>
        <sz val="11"/>
        <color rgb="FF002060"/>
        <rFont val="Arial"/>
        <family val="2"/>
      </rPr>
      <t>Forward</t>
    </r>
    <r>
      <rPr>
        <b/>
        <sz val="11"/>
        <color rgb="FF002060"/>
        <rFont val="Arial"/>
        <family val="2"/>
      </rPr>
      <t xml:space="preserve"> teórico</t>
    </r>
  </si>
  <si>
    <t>F=exp(r*T)S</t>
  </si>
  <si>
    <t>Sobrevaluación</t>
  </si>
  <si>
    <r>
      <rPr>
        <b/>
        <i/>
        <sz val="11"/>
        <color rgb="FF002060"/>
        <rFont val="Arial"/>
        <family val="2"/>
      </rPr>
      <t>Forward</t>
    </r>
    <r>
      <rPr>
        <b/>
        <sz val="11"/>
        <color rgb="FF002060"/>
        <rFont val="Arial"/>
        <family val="2"/>
      </rPr>
      <t xml:space="preserve"> de mercado</t>
    </r>
  </si>
  <si>
    <t>F'=1.03*F</t>
  </si>
  <si>
    <t>Utiliza el teorema spot-forward</t>
  </si>
  <si>
    <t>Oportunidad arbitraje</t>
  </si>
  <si>
    <t>F &gt; S*exp(rT)</t>
  </si>
  <si>
    <t>Ganancia a realizar</t>
  </si>
  <si>
    <t>exp(-rT)*F-S&gt;0</t>
  </si>
  <si>
    <t>Ganancia arbitraje</t>
  </si>
  <si>
    <t>F de mercado está sobrevalorado.</t>
  </si>
  <si>
    <t>De acuerdo en implementar estrategia para aprovechar oportunidad de arbiraje.</t>
  </si>
  <si>
    <t>Por cada TM de cobre ganaría:</t>
  </si>
  <si>
    <t>Alternativa para obtener ganancia al inicio</t>
  </si>
  <si>
    <t>Operaciones:</t>
  </si>
  <si>
    <t xml:space="preserve">Inicio </t>
  </si>
  <si>
    <t>Prestarse VP de F</t>
  </si>
  <si>
    <t>exp(-rT)*F</t>
  </si>
  <si>
    <t>-F</t>
  </si>
  <si>
    <r>
      <t xml:space="preserve">Explicación: </t>
    </r>
    <r>
      <rPr>
        <i/>
        <sz val="11"/>
        <color rgb="FFFF0000"/>
        <rFont val="Arial"/>
        <family val="2"/>
      </rPr>
      <t>forward</t>
    </r>
    <r>
      <rPr>
        <sz val="11"/>
        <color rgb="FFFF0000"/>
        <rFont val="Arial"/>
        <family val="2"/>
      </rPr>
      <t xml:space="preserve"> sobrevaluado, </t>
    </r>
    <r>
      <rPr>
        <i/>
        <sz val="11"/>
        <color rgb="FFFF0000"/>
        <rFont val="Arial"/>
        <family val="2"/>
      </rPr>
      <t>spot</t>
    </r>
    <r>
      <rPr>
        <sz val="11"/>
        <color rgb="FFFF0000"/>
        <rFont val="Arial"/>
        <family val="2"/>
      </rPr>
      <t xml:space="preserve"> subvaluado (respecto a teorema).</t>
    </r>
  </si>
  <si>
    <r>
      <t xml:space="preserve">Largo </t>
    </r>
    <r>
      <rPr>
        <i/>
        <sz val="11"/>
        <color theme="1"/>
        <rFont val="Arial"/>
        <family val="2"/>
      </rPr>
      <t>spot</t>
    </r>
  </si>
  <si>
    <t>-S</t>
  </si>
  <si>
    <t>St</t>
  </si>
  <si>
    <t>Corto Fwd</t>
  </si>
  <si>
    <t>0</t>
  </si>
  <si>
    <t>Muestra que es arbitraje (cero al final).</t>
  </si>
  <si>
    <t>Ganancia Arbitraje</t>
  </si>
  <si>
    <t>Ganancia correcta.</t>
  </si>
  <si>
    <r>
      <t xml:space="preserve">La diferencia respecto al teorema </t>
    </r>
    <r>
      <rPr>
        <i/>
        <sz val="11"/>
        <color theme="1"/>
        <rFont val="Arial"/>
        <family val="2"/>
      </rPr>
      <t>spot-forward</t>
    </r>
    <r>
      <rPr>
        <sz val="11"/>
        <color theme="1"/>
        <rFont val="Arial"/>
        <family val="2"/>
      </rPr>
      <t xml:space="preserve"> es la ganancia.</t>
    </r>
  </si>
  <si>
    <t>Valor cero al vencimiento para mostrar que es arbitraje.</t>
  </si>
  <si>
    <t>Alternativa para obtener ganancia al vencimiento</t>
  </si>
  <si>
    <r>
      <t xml:space="preserve">Prestarse valor </t>
    </r>
    <r>
      <rPr>
        <i/>
        <sz val="11"/>
        <color theme="1"/>
        <rFont val="Arial"/>
        <family val="2"/>
      </rPr>
      <t>spot</t>
    </r>
  </si>
  <si>
    <r>
      <t xml:space="preserve">Precio </t>
    </r>
    <r>
      <rPr>
        <i/>
        <sz val="11"/>
        <color theme="1"/>
        <rFont val="Arial"/>
        <family val="2"/>
      </rPr>
      <t>spot</t>
    </r>
    <r>
      <rPr>
        <sz val="11"/>
        <color theme="1"/>
        <rFont val="Arial"/>
        <family val="2"/>
      </rPr>
      <t xml:space="preserve"> inicial</t>
    </r>
  </si>
  <si>
    <t>Tasa libre de riesgo</t>
  </si>
  <si>
    <t>exp(r*T)</t>
  </si>
  <si>
    <t>F teórico = F Mercado</t>
  </si>
  <si>
    <r>
      <t xml:space="preserve">Posición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corta inicial</t>
    </r>
  </si>
  <si>
    <r>
      <t>Para valorizar asume tomar posición</t>
    </r>
    <r>
      <rPr>
        <i/>
        <sz val="11"/>
        <color theme="1"/>
        <rFont val="Arial"/>
        <family val="2"/>
      </rPr>
      <t xml:space="preserve"> forward</t>
    </r>
    <r>
      <rPr>
        <sz val="11"/>
        <color theme="1"/>
        <rFont val="Arial"/>
        <family val="2"/>
      </rPr>
      <t xml:space="preserve"> larga.</t>
    </r>
  </si>
  <si>
    <r>
      <t xml:space="preserve">Precio </t>
    </r>
    <r>
      <rPr>
        <i/>
        <sz val="11"/>
        <color theme="1"/>
        <rFont val="Arial"/>
        <family val="2"/>
      </rPr>
      <t>spot</t>
    </r>
    <r>
      <rPr>
        <sz val="11"/>
        <color theme="1"/>
        <rFont val="Arial"/>
        <family val="2"/>
      </rPr>
      <t xml:space="preserve"> intermedio</t>
    </r>
  </si>
  <si>
    <t>Tiempo inicial</t>
  </si>
  <si>
    <t>Tiempo remanente</t>
  </si>
  <si>
    <t>Tiempo remanente años</t>
  </si>
  <si>
    <t>VF</t>
  </si>
  <si>
    <t>VF=F/exp(r*T)-So</t>
  </si>
  <si>
    <t>Valor individual y valor posición.</t>
  </si>
  <si>
    <t>Posición a coberturar</t>
  </si>
  <si>
    <t>Valor de posición</t>
  </si>
  <si>
    <r>
      <t xml:space="preserve">Dado que el precio </t>
    </r>
    <r>
      <rPr>
        <i/>
        <sz val="11"/>
        <color theme="1"/>
        <rFont val="Arial"/>
        <family val="2"/>
      </rPr>
      <t>spo</t>
    </r>
    <r>
      <rPr>
        <sz val="11"/>
        <color theme="1"/>
        <rFont val="Arial"/>
        <family val="2"/>
      </rPr>
      <t xml:space="preserve">t es mayor que el F pactado originalmente, </t>
    </r>
  </si>
  <si>
    <t>Conveniencia de la cobertura.</t>
  </si>
  <si>
    <r>
      <t xml:space="preserve">el valor de la posición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corta inicial es negativa.</t>
    </r>
  </si>
  <si>
    <t xml:space="preserve">Posición corta ofreció cobertura del precio. </t>
  </si>
  <si>
    <t>La cobertura es conveniente, aunque no se haya dado el riesgo.</t>
  </si>
  <si>
    <t xml:space="preserve"> Gráfico.</t>
  </si>
  <si>
    <t>Cuenta por pagar USD</t>
  </si>
  <si>
    <t>Tiempo cobertura (meses)</t>
  </si>
  <si>
    <t>Tiempo cobertura (años)</t>
  </si>
  <si>
    <t>Cotizaciones Cambiarias</t>
  </si>
  <si>
    <t>TC</t>
  </si>
  <si>
    <t>Compra</t>
  </si>
  <si>
    <t>Venta</t>
  </si>
  <si>
    <t>Fixing</t>
  </si>
  <si>
    <t>Spot</t>
  </si>
  <si>
    <t>Ptos básicos</t>
  </si>
  <si>
    <t>Fwd5M</t>
  </si>
  <si>
    <r>
      <t xml:space="preserve">Cotización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pactada:</t>
    </r>
  </si>
  <si>
    <t>Corto USD</t>
  </si>
  <si>
    <t>Largo fwd</t>
  </si>
  <si>
    <r>
      <t xml:space="preserve">Dado que toma la posición larga, la cotización que pacta será el TC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venta:</t>
    </r>
  </si>
  <si>
    <t>Fv = Sv + pbs v</t>
  </si>
  <si>
    <t>Fv=</t>
  </si>
  <si>
    <r>
      <t>Cotización</t>
    </r>
    <r>
      <rPr>
        <i/>
        <sz val="11"/>
        <color rgb="FFFF0000"/>
        <rFont val="Arial"/>
        <family val="2"/>
      </rPr>
      <t xml:space="preserve"> forward</t>
    </r>
    <r>
      <rPr>
        <sz val="11"/>
        <color rgb="FFFF0000"/>
        <rFont val="Arial"/>
        <family val="2"/>
      </rPr>
      <t xml:space="preserve"> pactada explicada.</t>
    </r>
  </si>
  <si>
    <t>Para determinar el diferencial de tasas implícito:</t>
  </si>
  <si>
    <t>El cálculo proviene de la fórmula derivada de la paridad de tasas de interés</t>
  </si>
  <si>
    <t>Despejando se obtiene:</t>
  </si>
  <si>
    <t>Diferencial tasas implícito:</t>
  </si>
  <si>
    <t>Costo de la cobertura:</t>
  </si>
  <si>
    <t>Corresponde al diferencial de tasas implícito en las cotizaciones spot y fwd</t>
  </si>
  <si>
    <t>Identifica el diferencial como costo.</t>
  </si>
  <si>
    <t>La empresa está en corto por la deuda por pagar</t>
  </si>
  <si>
    <t>Posición de cambio contable:</t>
  </si>
  <si>
    <t>Posición neta en derivado:</t>
  </si>
  <si>
    <t xml:space="preserve">Posición de cambio global: </t>
  </si>
  <si>
    <t>Corresponde al efectivo neto que tiene la empresa en el balance.</t>
  </si>
  <si>
    <t>Explicación PCC.</t>
  </si>
  <si>
    <t>La expone al riesgo de depreciación.</t>
  </si>
  <si>
    <t>Al subir el TC, la deuda es mayor en PEN.</t>
  </si>
  <si>
    <t>Por tanto, generaría una pérdida por diferencia de cambio.</t>
  </si>
  <si>
    <t>Pérdida: (S0-St)</t>
  </si>
  <si>
    <t>PNF</t>
  </si>
  <si>
    <t xml:space="preserve">Para compensar el riesgo de pérdida, requiere una posición </t>
  </si>
  <si>
    <t>Explicación PND.</t>
  </si>
  <si>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que le permite obtener ganancia en caso ocurra el riesgo.</t>
    </r>
  </si>
  <si>
    <r>
      <t xml:space="preserve">Eso corresponde a la posición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compra.</t>
    </r>
  </si>
  <si>
    <t>Payoff: (St-F)</t>
  </si>
  <si>
    <t>Representa su exposición al riesgo cambiario.</t>
  </si>
  <si>
    <t>Explicación PCG.</t>
  </si>
  <si>
    <r>
      <t xml:space="preserve">Al tomar el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largo, por el mismo monto que su exposición</t>
    </r>
  </si>
  <si>
    <t>elimina su exposición al riesgo.</t>
  </si>
  <si>
    <t>Su resultado ya no depende del TC.</t>
  </si>
  <si>
    <r>
      <t>Se conoce de antemano: (S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-F).</t>
    </r>
  </si>
  <si>
    <t>Resultados alternativos:</t>
  </si>
  <si>
    <r>
      <t xml:space="preserve">TC </t>
    </r>
    <r>
      <rPr>
        <i/>
        <sz val="11"/>
        <color theme="1"/>
        <rFont val="Arial"/>
        <family val="2"/>
      </rPr>
      <t>fixing</t>
    </r>
  </si>
  <si>
    <t>En cuenta por pagar</t>
  </si>
  <si>
    <t>0.5</t>
  </si>
  <si>
    <r>
      <t xml:space="preserve">En </t>
    </r>
    <r>
      <rPr>
        <i/>
        <sz val="11"/>
        <color theme="1"/>
        <rFont val="Arial"/>
        <family val="2"/>
      </rPr>
      <t>forward</t>
    </r>
    <r>
      <rPr>
        <sz val="11"/>
        <color theme="1"/>
        <rFont val="Arial"/>
        <family val="2"/>
      </rPr>
      <t xml:space="preserve"> largo</t>
    </r>
  </si>
  <si>
    <t>En neto</t>
  </si>
  <si>
    <t>En neto (cálculo alterno)</t>
  </si>
  <si>
    <t>El resultado neto no varía. Corresponde al costo de la cobertura.</t>
  </si>
  <si>
    <t>Identifica costo de cobertura.</t>
  </si>
  <si>
    <t>Equivale al diferencial de tasas implícito.</t>
  </si>
  <si>
    <t>2)</t>
  </si>
  <si>
    <t>31 mar 2026</t>
  </si>
  <si>
    <t xml:space="preserve">Pacta posición contraria. Vuelve a asumir riesgo. </t>
  </si>
  <si>
    <t>Valores/ Explicación / gráfico.</t>
  </si>
  <si>
    <t>Valores correctos en TC1.</t>
  </si>
  <si>
    <t>Valores correctos en TC2.</t>
  </si>
  <si>
    <t>Diferencial de tasas (derivado de la paridad).</t>
  </si>
  <si>
    <r>
      <rPr>
        <i/>
        <sz val="11"/>
        <color rgb="FFFF0000"/>
        <rFont val="Arial"/>
        <family val="2"/>
      </rPr>
      <t>Forward</t>
    </r>
    <r>
      <rPr>
        <sz val="11"/>
        <color rgb="FFFF0000"/>
        <rFont val="Arial"/>
        <family val="2"/>
      </rPr>
      <t xml:space="preserve"> sin arbitraje explicado.</t>
    </r>
  </si>
  <si>
    <t>Ganancia correcta. Diferencia respecto al inicio.</t>
  </si>
  <si>
    <t>Arbitraje de tasa en dólares (inversión) a través de:</t>
  </si>
  <si>
    <t>Venta Spot +  Depósito PEN + Compra Fwd</t>
  </si>
  <si>
    <t>Porcentaje Disponible</t>
  </si>
  <si>
    <t>Monto Disponible</t>
  </si>
  <si>
    <t>Plazo (días)</t>
  </si>
  <si>
    <t>TC Spot (bid/ask)</t>
  </si>
  <si>
    <t>Puntos (bid/ask)</t>
  </si>
  <si>
    <t>Tasa pasiva en USD</t>
  </si>
  <si>
    <t>Tasa pasiva en PEN</t>
  </si>
  <si>
    <t>TC Fwd (bid/ask)</t>
  </si>
  <si>
    <t>Diferencial de Tasas</t>
  </si>
  <si>
    <t>Hoy</t>
  </si>
  <si>
    <t>USD</t>
  </si>
  <si>
    <t>PEN</t>
  </si>
  <si>
    <t>Depósito USD</t>
  </si>
  <si>
    <t>Cálculo retorno depósito USD</t>
  </si>
  <si>
    <t>Vende USD</t>
  </si>
  <si>
    <t>Identifica y explica operaciones</t>
  </si>
  <si>
    <t>Depósito en PEN</t>
  </si>
  <si>
    <t>3)</t>
  </si>
  <si>
    <t>Compra Fwd</t>
  </si>
  <si>
    <t xml:space="preserve">Flujos Netos </t>
  </si>
  <si>
    <t>Retorno en % =</t>
  </si>
  <si>
    <t>Conviene realizar el depósito sintético.</t>
  </si>
  <si>
    <t>Conclusión</t>
  </si>
  <si>
    <t>También pudo calcularse directamente la tasa implícita en USD del forward:</t>
  </si>
  <si>
    <t>Implícita en USD =</t>
  </si>
  <si>
    <t>Variaciones en las posiciones de cambio:</t>
  </si>
  <si>
    <t>Posición</t>
  </si>
  <si>
    <t>Inicial</t>
  </si>
  <si>
    <t>Variación</t>
  </si>
  <si>
    <t>Con Sintético</t>
  </si>
  <si>
    <t>PND</t>
  </si>
  <si>
    <t>PCC y PND varían por el monto de operaciones involucradas.</t>
  </si>
  <si>
    <t>PCG no se afecta porque son operaciones simultáneas contrapuestas (sólo mínimamente).</t>
  </si>
  <si>
    <t>Al no haber variación en PCG del inversionista, tampoco en la banca. No hay efecto cambiario.</t>
  </si>
  <si>
    <t>Variación en PCC.</t>
  </si>
  <si>
    <t>Variación en PND.</t>
  </si>
  <si>
    <t>Variación en PCG.</t>
  </si>
  <si>
    <t>AME &gt; PME</t>
  </si>
  <si>
    <t>(AME - PME) &gt; 0</t>
  </si>
  <si>
    <t>Apreciación PEN</t>
  </si>
  <si>
    <t>Fwd Corto</t>
  </si>
  <si>
    <t>F - St</t>
  </si>
  <si>
    <t>Siendo Fwd venta, si su valor es positivo, se registra en activo.</t>
  </si>
  <si>
    <r>
      <t xml:space="preserve">Vencimiento </t>
    </r>
    <r>
      <rPr>
        <b/>
        <i/>
        <sz val="11"/>
        <color theme="1"/>
        <rFont val="Arial"/>
        <family val="2"/>
      </rPr>
      <t>forward</t>
    </r>
    <r>
      <rPr>
        <b/>
        <sz val="11"/>
        <color theme="1"/>
        <rFont val="Arial"/>
        <family val="2"/>
      </rPr>
      <t xml:space="preserve"> compra (para el cliente); venta (para el banco).</t>
    </r>
  </si>
  <si>
    <t>PND sube por vencimiento del fwd venta</t>
  </si>
  <si>
    <t>PCC disminuye porque el banco vende efectivamente dólares</t>
  </si>
  <si>
    <t>PCC no se modifica, pues no hay venta efectiva de dólares (salvo por resultado F - St)</t>
  </si>
  <si>
    <t>PCG  aumenta por mayor PND</t>
  </si>
  <si>
    <t>Banca sale a vender dólares en spot, para reducir PCC y mantener PCG constante</t>
  </si>
  <si>
    <t>Correspondientemente, genera presión de depreciación del USD.</t>
  </si>
  <si>
    <t>No hay efecto cambiario, ni en PEN ni en USD.</t>
  </si>
  <si>
    <t>Reacción en PCC y presión de mercado en USD.</t>
  </si>
  <si>
    <t>Genera presión de apreciación del PEN</t>
  </si>
  <si>
    <r>
      <t xml:space="preserve">Valor </t>
    </r>
    <r>
      <rPr>
        <b/>
        <i/>
        <sz val="11"/>
        <color theme="1"/>
        <rFont val="Arial"/>
        <family val="2"/>
      </rPr>
      <t xml:space="preserve">forward </t>
    </r>
    <r>
      <rPr>
        <b/>
        <sz val="11"/>
        <color theme="1"/>
        <rFont val="Arial"/>
        <family val="2"/>
      </rPr>
      <t>luego de 6 meses:</t>
    </r>
  </si>
  <si>
    <t>Fwd pactado a 9 meses</t>
  </si>
  <si>
    <t>USD x TM</t>
  </si>
  <si>
    <t>Precio del Cobre Hoy en Perú (setiembre 2026) | Compra y Venta</t>
  </si>
  <si>
    <t>6 meses</t>
  </si>
  <si>
    <t>Explicación: diferencia respecto al inicio.</t>
  </si>
  <si>
    <t>Retorno es mayor a la tasa de interés pasiva en USD (1,5%)</t>
  </si>
  <si>
    <t>Evaluar validez:</t>
  </si>
  <si>
    <t>Operación Banca</t>
  </si>
  <si>
    <t>Cliente</t>
  </si>
  <si>
    <t>Operación Cliente</t>
  </si>
  <si>
    <t>Qué pasa</t>
  </si>
  <si>
    <t>Expectativa</t>
  </si>
  <si>
    <t>Gráficos</t>
  </si>
  <si>
    <t>Fwd Venta</t>
  </si>
  <si>
    <t>No Residente</t>
  </si>
  <si>
    <t>Fwd Compra</t>
  </si>
  <si>
    <t>Vencen</t>
  </si>
  <si>
    <t>Sí</t>
  </si>
  <si>
    <t>Fwd compra</t>
  </si>
  <si>
    <t>AFP</t>
  </si>
  <si>
    <t>Fwd venta</t>
  </si>
  <si>
    <t>Aumentan</t>
  </si>
  <si>
    <t>Con NR : es falso. Usualmente pactan fwd compra para cobertura contra depreciación.</t>
  </si>
  <si>
    <t>Si lo dejan vencer, esperan apreciación o, al menos, ya no depreciación.</t>
  </si>
  <si>
    <t>AFP: es falso. Hacen regularmente Fwd venta por cobertura contra apreciación.</t>
  </si>
  <si>
    <t>El anunciado total es falso. Ambos agentes esperarían apreciación del PEN.</t>
  </si>
  <si>
    <t>Explica e identifica valorizacion tomando posición contraria.</t>
  </si>
  <si>
    <t>Cálculo retorno  sintético: valor y tasa</t>
  </si>
  <si>
    <t>Explicación portafolio + cobertura de No Residentes + Gráfico.</t>
  </si>
  <si>
    <t>Explicación portafolio + cobertura de AFP + Gráfico.</t>
  </si>
  <si>
    <t>Cobertura</t>
  </si>
  <si>
    <t>Portafolio en PEN</t>
  </si>
  <si>
    <t>Portafolio en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</si>
</sst>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00"/>
    <numFmt numFmtId="165" formatCode="0.000"/>
    <numFmt numFmtId="166" formatCode="0.0%"/>
    <numFmt numFmtId="167" formatCode="_-* #,##0.00\ _€_-;\-* #,##0.00\ _€_-;_-* &quot;-&quot;??\ _€_-;_-@_-"/>
    <numFmt numFmtId="168" formatCode="###,###"/>
    <numFmt numFmtId="169" formatCode="#\ ###"/>
    <numFmt numFmtId="170" formatCode="###\ ###"/>
    <numFmt numFmtId="171" formatCode="###\ ###\ ###"/>
    <numFmt numFmtId="172" formatCode="0.000000"/>
    <numFmt numFmtId="173" formatCode="###\ ###.00"/>
    <numFmt numFmtId="174" formatCode="0.0"/>
    <numFmt numFmtId="175" formatCode="0.000000000000"/>
    <numFmt numFmtId="176" formatCode="#,##0_ ;\-#,##0\ "/>
    <numFmt numFmtId="177" formatCode="#,##0.0000_ ;\-#,##0.0000\ "/>
    <numFmt numFmtId="178" formatCode="_-* #,##0.0000\ _€_-;\-* #,##0.0000\ _€_-;_-* &quot;-&quot;??\ _€_-;_-@_-"/>
    <numFmt numFmtId="179" formatCode="_-* #,##0.0000_-;\-* #,##0.0000_-;_-* &quot;-&quot;??_-;_-@_-"/>
    <numFmt numFmtId="180" formatCode="_-* #,##0_-;\-* #,##0_-;_-* &quot;-&quot;??_-;_-@_-"/>
    <numFmt numFmtId="181" formatCode="0.0000000000000000%"/>
    <numFmt numFmtId="182" formatCode="0.0000%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u/>
      <sz val="12"/>
      <color rgb="FF00206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FF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4" tint="-0.499984740745262"/>
      <name val="Times New Roman"/>
      <family val="1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2060"/>
      <name val="Arial"/>
      <family val="2"/>
    </font>
    <font>
      <b/>
      <i/>
      <sz val="11"/>
      <color rgb="FF002060"/>
      <name val="Arial"/>
      <family val="2"/>
    </font>
    <font>
      <i/>
      <sz val="11"/>
      <color rgb="FFFF000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Calibri"/>
      <family val="2"/>
      <scheme val="minor"/>
    </font>
    <font>
      <vertAlign val="subscript"/>
      <sz val="11"/>
      <color theme="1"/>
      <name val="Arial"/>
      <family val="2"/>
    </font>
    <font>
      <b/>
      <sz val="11"/>
      <color theme="3" tint="-0.24997711111789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4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0" xfId="0" applyFont="1" applyFill="1"/>
    <xf numFmtId="0" fontId="3" fillId="2" borderId="6" xfId="0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6" xfId="0" applyFont="1" applyFill="1" applyBorder="1"/>
    <xf numFmtId="166" fontId="5" fillId="2" borderId="0" xfId="0" applyNumberFormat="1" applyFont="1" applyFill="1"/>
    <xf numFmtId="0" fontId="0" fillId="0" borderId="0" xfId="0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4" fillId="0" borderId="0" xfId="0" applyFont="1"/>
    <xf numFmtId="166" fontId="1" fillId="0" borderId="0" xfId="1" applyNumberFormat="1" applyFont="1" applyBorder="1"/>
    <xf numFmtId="0" fontId="1" fillId="0" borderId="0" xfId="0" applyFont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7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3" xfId="0" applyFont="1" applyFill="1" applyBorder="1"/>
    <xf numFmtId="165" fontId="5" fillId="2" borderId="0" xfId="0" applyNumberFormat="1" applyFont="1" applyFill="1"/>
    <xf numFmtId="0" fontId="13" fillId="2" borderId="0" xfId="0" quotePrefix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5" fillId="2" borderId="4" xfId="0" applyFont="1" applyFill="1" applyBorder="1"/>
    <xf numFmtId="0" fontId="5" fillId="2" borderId="0" xfId="0" applyFont="1" applyFill="1" applyAlignment="1">
      <alignment horizontal="left"/>
    </xf>
    <xf numFmtId="171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5" fillId="2" borderId="12" xfId="0" applyFont="1" applyFill="1" applyBorder="1"/>
    <xf numFmtId="0" fontId="5" fillId="2" borderId="11" xfId="0" applyFont="1" applyFill="1" applyBorder="1"/>
    <xf numFmtId="0" fontId="5" fillId="2" borderId="2" xfId="0" applyFont="1" applyFill="1" applyBorder="1"/>
    <xf numFmtId="0" fontId="3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5" fillId="2" borderId="8" xfId="0" applyFont="1" applyFill="1" applyBorder="1"/>
    <xf numFmtId="0" fontId="5" fillId="2" borderId="10" xfId="0" applyFont="1" applyFill="1" applyBorder="1"/>
    <xf numFmtId="170" fontId="5" fillId="2" borderId="10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10" fontId="5" fillId="2" borderId="4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172" fontId="5" fillId="2" borderId="11" xfId="0" applyNumberFormat="1" applyFont="1" applyFill="1" applyBorder="1" applyAlignment="1">
      <alignment horizontal="center"/>
    </xf>
    <xf numFmtId="0" fontId="16" fillId="2" borderId="7" xfId="0" applyFont="1" applyFill="1" applyBorder="1"/>
    <xf numFmtId="0" fontId="16" fillId="2" borderId="4" xfId="0" applyFont="1" applyFill="1" applyBorder="1"/>
    <xf numFmtId="173" fontId="16" fillId="2" borderId="4" xfId="0" applyNumberFormat="1" applyFont="1" applyFill="1" applyBorder="1" applyAlignment="1">
      <alignment horizontal="center"/>
    </xf>
    <xf numFmtId="9" fontId="5" fillId="2" borderId="4" xfId="0" applyNumberFormat="1" applyFont="1" applyFill="1" applyBorder="1" applyAlignment="1">
      <alignment horizontal="center"/>
    </xf>
    <xf numFmtId="0" fontId="16" fillId="2" borderId="13" xfId="0" applyFont="1" applyFill="1" applyBorder="1"/>
    <xf numFmtId="0" fontId="16" fillId="2" borderId="11" xfId="0" applyFont="1" applyFill="1" applyBorder="1"/>
    <xf numFmtId="173" fontId="16" fillId="2" borderId="5" xfId="0" applyNumberFormat="1" applyFont="1" applyFill="1" applyBorder="1" applyAlignment="1">
      <alignment horizontal="center"/>
    </xf>
    <xf numFmtId="174" fontId="13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175" fontId="5" fillId="2" borderId="0" xfId="0" applyNumberFormat="1" applyFont="1" applyFill="1"/>
    <xf numFmtId="174" fontId="5" fillId="2" borderId="0" xfId="0" applyNumberFormat="1" applyFont="1" applyFill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73" fontId="5" fillId="2" borderId="8" xfId="0" applyNumberFormat="1" applyFont="1" applyFill="1" applyBorder="1" applyAlignment="1">
      <alignment horizontal="center" vertical="center" wrapText="1"/>
    </xf>
    <xf numFmtId="0" fontId="5" fillId="2" borderId="10" xfId="0" quotePrefix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170" fontId="5" fillId="2" borderId="7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quotePrefix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2" fontId="16" fillId="2" borderId="6" xfId="0" applyNumberFormat="1" applyFont="1" applyFill="1" applyBorder="1" applyAlignment="1">
      <alignment horizontal="center" vertical="center" wrapText="1"/>
    </xf>
    <xf numFmtId="0" fontId="16" fillId="2" borderId="11" xfId="0" quotePrefix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173" fontId="5" fillId="2" borderId="10" xfId="0" applyNumberFormat="1" applyFont="1" applyFill="1" applyBorder="1" applyAlignment="1">
      <alignment horizontal="center" vertical="center" wrapText="1"/>
    </xf>
    <xf numFmtId="173" fontId="5" fillId="2" borderId="11" xfId="0" applyNumberFormat="1" applyFont="1" applyFill="1" applyBorder="1" applyAlignment="1">
      <alignment horizontal="center" vertical="center" wrapText="1"/>
    </xf>
    <xf numFmtId="2" fontId="16" fillId="2" borderId="11" xfId="0" quotePrefix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/>
    <xf numFmtId="169" fontId="5" fillId="2" borderId="10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3" fillId="2" borderId="11" xfId="0" applyFont="1" applyFill="1" applyBorder="1"/>
    <xf numFmtId="173" fontId="16" fillId="2" borderId="11" xfId="0" applyNumberFormat="1" applyFont="1" applyFill="1" applyBorder="1" applyAlignment="1">
      <alignment horizontal="center" vertical="center" wrapText="1"/>
    </xf>
    <xf numFmtId="0" fontId="13" fillId="2" borderId="0" xfId="0" quotePrefix="1" applyFont="1" applyFill="1" applyAlignment="1">
      <alignment horizontal="left"/>
    </xf>
    <xf numFmtId="0" fontId="5" fillId="2" borderId="0" xfId="0" quotePrefix="1" applyFont="1" applyFill="1" applyAlignment="1">
      <alignment horizontal="left"/>
    </xf>
    <xf numFmtId="1" fontId="5" fillId="2" borderId="4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0" xfId="0" applyFont="1" applyFill="1" applyAlignment="1">
      <alignment horizontal="center"/>
    </xf>
    <xf numFmtId="168" fontId="5" fillId="2" borderId="2" xfId="0" applyNumberFormat="1" applyFont="1" applyFill="1" applyBorder="1" applyAlignment="1">
      <alignment horizontal="center"/>
    </xf>
    <xf numFmtId="172" fontId="5" fillId="2" borderId="0" xfId="0" applyNumberFormat="1" applyFont="1" applyFill="1" applyAlignment="1">
      <alignment horizontal="center"/>
    </xf>
    <xf numFmtId="0" fontId="0" fillId="0" borderId="9" xfId="0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/>
    </xf>
    <xf numFmtId="15" fontId="0" fillId="0" borderId="12" xfId="0" quotePrefix="1" applyNumberFormat="1" applyBorder="1" applyAlignment="1">
      <alignment horizontal="center"/>
    </xf>
    <xf numFmtId="0" fontId="0" fillId="0" borderId="0" xfId="0" quotePrefix="1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165" fontId="22" fillId="0" borderId="11" xfId="0" applyNumberFormat="1" applyFont="1" applyBorder="1" applyAlignment="1">
      <alignment horizontal="center"/>
    </xf>
    <xf numFmtId="171" fontId="5" fillId="2" borderId="0" xfId="0" applyNumberFormat="1" applyFont="1" applyFill="1" applyAlignment="1">
      <alignment horizontal="right"/>
    </xf>
    <xf numFmtId="10" fontId="5" fillId="2" borderId="0" xfId="1" applyNumberFormat="1" applyFont="1" applyFill="1"/>
    <xf numFmtId="3" fontId="5" fillId="2" borderId="0" xfId="0" applyNumberFormat="1" applyFont="1" applyFill="1"/>
    <xf numFmtId="0" fontId="16" fillId="2" borderId="0" xfId="0" applyFont="1" applyFill="1"/>
    <xf numFmtId="16" fontId="5" fillId="2" borderId="0" xfId="0" applyNumberFormat="1" applyFont="1" applyFill="1" applyAlignment="1">
      <alignment horizontal="center"/>
    </xf>
    <xf numFmtId="174" fontId="13" fillId="2" borderId="0" xfId="0" quotePrefix="1" applyNumberFormat="1" applyFont="1" applyFill="1" applyAlignment="1">
      <alignment horizontal="center"/>
    </xf>
    <xf numFmtId="169" fontId="5" fillId="2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77" fontId="5" fillId="2" borderId="12" xfId="2" applyNumberFormat="1" applyFont="1" applyFill="1" applyBorder="1" applyAlignment="1">
      <alignment horizontal="center"/>
    </xf>
    <xf numFmtId="178" fontId="5" fillId="2" borderId="0" xfId="0" applyNumberFormat="1" applyFont="1" applyFill="1"/>
    <xf numFmtId="10" fontId="5" fillId="2" borderId="0" xfId="1" applyNumberFormat="1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10" fontId="5" fillId="2" borderId="12" xfId="1" applyNumberFormat="1" applyFont="1" applyFill="1" applyBorder="1" applyAlignment="1">
      <alignment horizontal="center"/>
    </xf>
    <xf numFmtId="178" fontId="5" fillId="2" borderId="0" xfId="2" applyNumberFormat="1" applyFont="1" applyFill="1" applyBorder="1" applyAlignment="1">
      <alignment horizontal="center"/>
    </xf>
    <xf numFmtId="179" fontId="5" fillId="2" borderId="0" xfId="2" applyNumberFormat="1" applyFont="1" applyFill="1" applyBorder="1" applyAlignment="1">
      <alignment horizontal="right" indent="2"/>
    </xf>
    <xf numFmtId="0" fontId="5" fillId="2" borderId="12" xfId="0" applyFont="1" applyFill="1" applyBorder="1" applyAlignment="1">
      <alignment horizontal="center" vertical="center"/>
    </xf>
    <xf numFmtId="3" fontId="5" fillId="2" borderId="9" xfId="2" applyNumberFormat="1" applyFont="1" applyFill="1" applyBorder="1" applyAlignment="1">
      <alignment horizontal="center" vertical="center"/>
    </xf>
    <xf numFmtId="179" fontId="5" fillId="2" borderId="9" xfId="2" applyNumberFormat="1" applyFont="1" applyFill="1" applyBorder="1" applyAlignment="1">
      <alignment horizontal="center" vertical="center"/>
    </xf>
    <xf numFmtId="180" fontId="5" fillId="2" borderId="9" xfId="2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4" fontId="5" fillId="2" borderId="3" xfId="2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3" fontId="5" fillId="2" borderId="12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9" fontId="5" fillId="2" borderId="0" xfId="2" applyNumberFormat="1" applyFont="1" applyFill="1" applyBorder="1" applyAlignment="1">
      <alignment horizontal="center"/>
    </xf>
    <xf numFmtId="10" fontId="3" fillId="2" borderId="0" xfId="1" applyNumberFormat="1" applyFont="1" applyFill="1" applyBorder="1" applyAlignment="1">
      <alignment horizontal="left" indent="2"/>
    </xf>
    <xf numFmtId="181" fontId="5" fillId="2" borderId="0" xfId="0" applyNumberFormat="1" applyFont="1" applyFill="1"/>
    <xf numFmtId="10" fontId="5" fillId="2" borderId="0" xfId="1" applyNumberFormat="1" applyFont="1" applyFill="1" applyBorder="1" applyAlignment="1">
      <alignment horizontal="right" indent="2"/>
    </xf>
    <xf numFmtId="0" fontId="5" fillId="2" borderId="3" xfId="0" applyFont="1" applyFill="1" applyBorder="1" applyAlignment="1">
      <alignment horizontal="center"/>
    </xf>
    <xf numFmtId="0" fontId="24" fillId="2" borderId="0" xfId="0" applyFont="1" applyFill="1"/>
    <xf numFmtId="0" fontId="5" fillId="2" borderId="5" xfId="0" applyFont="1" applyFill="1" applyBorder="1" applyAlignment="1">
      <alignment horizontal="center"/>
    </xf>
    <xf numFmtId="171" fontId="5" fillId="2" borderId="12" xfId="2" applyNumberFormat="1" applyFont="1" applyFill="1" applyBorder="1" applyAlignment="1">
      <alignment horizontal="center"/>
    </xf>
    <xf numFmtId="171" fontId="5" fillId="2" borderId="9" xfId="2" applyNumberFormat="1" applyFont="1" applyFill="1" applyBorder="1" applyAlignment="1">
      <alignment horizontal="center"/>
    </xf>
    <xf numFmtId="171" fontId="5" fillId="2" borderId="3" xfId="2" applyNumberFormat="1" applyFont="1" applyFill="1" applyBorder="1" applyAlignment="1">
      <alignment horizontal="center"/>
    </xf>
    <xf numFmtId="171" fontId="3" fillId="2" borderId="12" xfId="2" applyNumberFormat="1" applyFont="1" applyFill="1" applyBorder="1" applyAlignment="1">
      <alignment horizontal="center"/>
    </xf>
    <xf numFmtId="171" fontId="5" fillId="2" borderId="8" xfId="2" applyNumberFormat="1" applyFont="1" applyFill="1" applyBorder="1" applyAlignment="1">
      <alignment horizontal="center"/>
    </xf>
    <xf numFmtId="171" fontId="5" fillId="2" borderId="7" xfId="2" applyNumberFormat="1" applyFont="1" applyFill="1" applyBorder="1" applyAlignment="1">
      <alignment horizontal="center"/>
    </xf>
    <xf numFmtId="171" fontId="5" fillId="2" borderId="14" xfId="2" applyNumberFormat="1" applyFont="1" applyFill="1" applyBorder="1" applyAlignment="1">
      <alignment horizontal="center"/>
    </xf>
    <xf numFmtId="171" fontId="5" fillId="2" borderId="0" xfId="2" applyNumberFormat="1" applyFont="1" applyFill="1" applyBorder="1" applyAlignment="1">
      <alignment horizontal="center"/>
    </xf>
    <xf numFmtId="171" fontId="5" fillId="2" borderId="6" xfId="2" applyNumberFormat="1" applyFont="1" applyFill="1" applyBorder="1" applyAlignment="1">
      <alignment horizontal="center"/>
    </xf>
    <xf numFmtId="171" fontId="5" fillId="2" borderId="10" xfId="2" applyNumberFormat="1" applyFont="1" applyFill="1" applyBorder="1" applyAlignment="1">
      <alignment horizontal="center"/>
    </xf>
    <xf numFmtId="171" fontId="5" fillId="2" borderId="4" xfId="2" applyNumberFormat="1" applyFont="1" applyFill="1" applyBorder="1" applyAlignment="1">
      <alignment horizontal="center"/>
    </xf>
    <xf numFmtId="171" fontId="5" fillId="2" borderId="11" xfId="2" applyNumberFormat="1" applyFont="1" applyFill="1" applyBorder="1" applyAlignment="1">
      <alignment horizontal="center"/>
    </xf>
    <xf numFmtId="165" fontId="16" fillId="2" borderId="2" xfId="0" applyNumberFormat="1" applyFont="1" applyFill="1" applyBorder="1" applyAlignment="1">
      <alignment horizontal="center"/>
    </xf>
    <xf numFmtId="0" fontId="25" fillId="0" borderId="0" xfId="4"/>
    <xf numFmtId="182" fontId="5" fillId="2" borderId="0" xfId="1" applyNumberFormat="1" applyFont="1" applyFill="1"/>
    <xf numFmtId="0" fontId="5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179" fontId="5" fillId="5" borderId="1" xfId="2" applyNumberFormat="1" applyFont="1" applyFill="1" applyBorder="1" applyAlignment="1">
      <alignment horizontal="centerContinuous" vertical="center"/>
    </xf>
    <xf numFmtId="179" fontId="5" fillId="5" borderId="15" xfId="2" applyNumberFormat="1" applyFont="1" applyFill="1" applyBorder="1" applyAlignment="1">
      <alignment horizontal="centerContinuous" vertical="center"/>
    </xf>
    <xf numFmtId="179" fontId="5" fillId="5" borderId="2" xfId="2" applyNumberFormat="1" applyFont="1" applyFill="1" applyBorder="1" applyAlignment="1">
      <alignment horizontal="centerContinuous" vertical="center"/>
    </xf>
    <xf numFmtId="179" fontId="5" fillId="5" borderId="12" xfId="2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71" fontId="26" fillId="2" borderId="12" xfId="2" applyNumberFormat="1" applyFont="1" applyFill="1" applyBorder="1" applyAlignment="1">
      <alignment horizontal="center"/>
    </xf>
    <xf numFmtId="9" fontId="26" fillId="2" borderId="0" xfId="1" applyFont="1" applyFill="1" applyAlignment="1">
      <alignment horizontal="center"/>
    </xf>
    <xf numFmtId="176" fontId="26" fillId="2" borderId="12" xfId="2" applyNumberFormat="1" applyFont="1" applyFill="1" applyBorder="1" applyAlignment="1">
      <alignment horizontal="center"/>
    </xf>
    <xf numFmtId="177" fontId="26" fillId="2" borderId="12" xfId="2" applyNumberFormat="1" applyFont="1" applyFill="1" applyBorder="1" applyAlignment="1">
      <alignment horizontal="center"/>
    </xf>
    <xf numFmtId="10" fontId="26" fillId="2" borderId="12" xfId="0" applyNumberFormat="1" applyFont="1" applyFill="1" applyBorder="1" applyAlignment="1">
      <alignment horizontal="center"/>
    </xf>
    <xf numFmtId="171" fontId="26" fillId="2" borderId="13" xfId="2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2" xfId="0" quotePrefix="1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5">
    <cellStyle name="Hipervínculo" xfId="4" builtinId="8"/>
    <cellStyle name="Millares 2" xfId="2" xr:uid="{00000000-0005-0000-0000-000000000000}"/>
    <cellStyle name="Normal" xfId="0" builtinId="0"/>
    <cellStyle name="Porcentaje" xfId="1" builtinId="5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31750</xdr:colOff>
      <xdr:row>0</xdr:row>
      <xdr:rowOff>222250</xdr:rowOff>
    </xdr:from>
    <xdr:to>
      <xdr:col>9</xdr:col>
      <xdr:colOff>433160</xdr:colOff>
      <xdr:row>3</xdr:row>
      <xdr:rowOff>174625</xdr:rowOff>
    </xdr:to>
    <xdr:pic>
      <xdr:nvPicPr>
        <xdr:cNvPr id="2" name="image1.png" descr="C:\Users\lc.linaresh\Desktop\logo-pbs-negr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651500" y="222250"/>
          <a:ext cx="2096860" cy="66675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35</xdr:row>
      <xdr:rowOff>85733</xdr:rowOff>
    </xdr:from>
    <xdr:to>
      <xdr:col>4</xdr:col>
      <xdr:colOff>57149</xdr:colOff>
      <xdr:row>40</xdr:row>
      <xdr:rowOff>78536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>
        <a:xfrm>
          <a:off x="923924" y="6838958"/>
          <a:ext cx="2209800" cy="897678"/>
          <a:chOff x="7784546" y="5343929"/>
          <a:chExt cx="3926728" cy="1289447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28691" y="5343929"/>
            <a:ext cx="3262827" cy="612000"/>
          </a:xfrm>
          <a:prstGeom prst="rect">
            <a:avLst/>
          </a:prstGeom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accent1">
                <a:lumMod val="50000"/>
              </a:schemeClr>
            </a:solidFill>
          </a:ln>
          <a:effectLst/>
        </xdr:spPr>
      </xdr:pic>
      <xdr:sp macro="" textlink="">
        <xdr:nvSpPr>
          <xdr:cNvPr id="4" name="65 CuadroTexto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84546" y="6246448"/>
            <a:ext cx="3926728" cy="3869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0"/>
              </a:spcBef>
              <a:buSzPct val="100000"/>
              <a:buFont typeface="Arial" panose="020B0604020202020204" pitchFamily="34" charset="0"/>
              <a:buNone/>
            </a:pPr>
            <a:r>
              <a:rPr lang="es-PE" altLang="es-PE" sz="1200">
                <a:cs typeface="Arial" panose="020B0604020202020204" pitchFamily="34" charset="0"/>
              </a:rPr>
              <a:t>Costo del </a:t>
            </a:r>
            <a:r>
              <a:rPr lang="es-PE" altLang="es-PE" sz="1200" i="1">
                <a:cs typeface="Arial" panose="020B0604020202020204" pitchFamily="34" charset="0"/>
              </a:rPr>
              <a:t>fwd </a:t>
            </a:r>
            <a:r>
              <a:rPr lang="es-PE" altLang="es-PE" sz="1200">
                <a:cs typeface="Arial" panose="020B0604020202020204" pitchFamily="34" charset="0"/>
              </a:rPr>
              <a:t>= Diferencial de tasas</a:t>
            </a:r>
          </a:p>
        </xdr:txBody>
      </xdr:sp>
      <xdr:sp macro="" textlink="">
        <xdr:nvSpPr>
          <xdr:cNvPr id="5" name="Line 10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010394" y="5886608"/>
            <a:ext cx="678873" cy="402767"/>
          </a:xfrm>
          <a:prstGeom prst="line">
            <a:avLst/>
          </a:prstGeom>
          <a:noFill/>
          <a:ln w="22225">
            <a:solidFill>
              <a:srgbClr val="FF0000"/>
            </a:solidFill>
            <a:prstDash val="sysDash"/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endParaRPr lang="es-PE"/>
          </a:p>
        </xdr:txBody>
      </xdr:sp>
    </xdr:grpSp>
    <xdr:clientData/>
  </xdr:twoCellAnchor>
  <xdr:twoCellAnchor>
    <xdr:from>
      <xdr:col>4</xdr:col>
      <xdr:colOff>123825</xdr:colOff>
      <xdr:row>35</xdr:row>
      <xdr:rowOff>9525</xdr:rowOff>
    </xdr:from>
    <xdr:to>
      <xdr:col>5</xdr:col>
      <xdr:colOff>499308</xdr:colOff>
      <xdr:row>38</xdr:row>
      <xdr:rowOff>145596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3200400" y="6762750"/>
              <a:ext cx="1223208" cy="6789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𝑑𝑖𝑓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PE" sz="14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PE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PE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PE" sz="14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</m:e>
                                  <m:sub>
                                    <m: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PE" sz="14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s-PE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den>
                        </m:f>
                      </m:sup>
                    </m:sSup>
                    <m:r>
                      <a:rPr lang="es-PE" sz="14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3200400" y="6762750"/>
              <a:ext cx="1223208" cy="6789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〖𝑑𝑖𝑓〗_𝑡</a:t>
              </a:r>
              <a:r>
                <a:rPr lang="es-PE" sz="1400" i="0">
                  <a:latin typeface="Cambria Math" panose="02040503050406030204" pitchFamily="18" charset="0"/>
                </a:rPr>
                <a:t>=(𝐹_𝑡/𝑆_𝑡 )^(</a:t>
              </a:r>
              <a:r>
                <a:rPr lang="es-PE" sz="1400" b="0" i="0">
                  <a:latin typeface="Cambria Math" panose="02040503050406030204" pitchFamily="18" charset="0"/>
                </a:rPr>
                <a:t>1/𝑇)−1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</xdr:row>
      <xdr:rowOff>0</xdr:rowOff>
    </xdr:from>
    <xdr:to>
      <xdr:col>9</xdr:col>
      <xdr:colOff>401410</xdr:colOff>
      <xdr:row>3</xdr:row>
      <xdr:rowOff>190500</xdr:rowOff>
    </xdr:to>
    <xdr:pic>
      <xdr:nvPicPr>
        <xdr:cNvPr id="7" name="image1.png" descr="C:\Users\lc.linaresh\Desktop\logo-pbs-negro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619750" y="238125"/>
          <a:ext cx="2096860" cy="66675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8</xdr:col>
      <xdr:colOff>187098</xdr:colOff>
      <xdr:row>3</xdr:row>
      <xdr:rowOff>190500</xdr:rowOff>
    </xdr:to>
    <xdr:pic>
      <xdr:nvPicPr>
        <xdr:cNvPr id="2" name="image1.png" descr="C:\Users\lc.linaresh\Desktop\logo-pbs-negr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42125" y="238125"/>
          <a:ext cx="2100035" cy="666750"/>
        </a:xfrm>
        <a:prstGeom prst="rect">
          <a:avLst/>
        </a:prstGeom>
        <a:ln/>
      </xdr:spPr>
    </xdr:pic>
    <xdr:clientData/>
  </xdr:twoCellAnchor>
  <xdr:twoCellAnchor>
    <xdr:from>
      <xdr:col>1</xdr:col>
      <xdr:colOff>31751</xdr:colOff>
      <xdr:row>21</xdr:row>
      <xdr:rowOff>150813</xdr:rowOff>
    </xdr:from>
    <xdr:to>
      <xdr:col>3</xdr:col>
      <xdr:colOff>777875</xdr:colOff>
      <xdr:row>24</xdr:row>
      <xdr:rowOff>44336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6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04814" y="4532313"/>
              <a:ext cx="3357561" cy="441211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5000"/>
                    <a:lumOff val="95000"/>
                  </a:schemeClr>
                </a:gs>
                <a:gs pos="74000">
                  <a:schemeClr val="accent6">
                    <a:lumMod val="45000"/>
                    <a:lumOff val="55000"/>
                  </a:schemeClr>
                </a:gs>
                <a:gs pos="83000">
                  <a:schemeClr val="accent6">
                    <a:lumMod val="45000"/>
                    <a:lumOff val="55000"/>
                  </a:schemeClr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accent2">
                  <a:lumMod val="50000"/>
                </a:schemeClr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s-PE" sz="18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8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𝑉𝑉</m:t>
                      </m:r>
                    </m:e>
                    <m:sub>
                      <m:r>
                        <a:rPr lang="es-PE" sz="18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s-PE" sz="1800" i="1"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s-PE" sz="18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PE" sz="180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  <m:t>𝐹</m:t>
                              </m:r>
                            </m:e>
                            <m:sub>
                              <m: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  <m:t>𝑇</m:t>
                              </m:r>
                            </m:sub>
                          </m:sSub>
                        </m:num>
                        <m:den>
                          <m:sSup>
                            <m:sSupPr>
                              <m:ctrlP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1+</m:t>
                                  </m:r>
                                  <m:sSub>
                                    <m:sSubPr>
                                      <m:ctrlP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  <m:t>𝑅</m:t>
                                      </m:r>
                                    </m:e>
                                    <m:sub>
                                      <m: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  <m:t>𝐷𝐶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d>
                                <m:dPr>
                                  <m:ctrlP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𝑇</m:t>
                                  </m:r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𝑡</m:t>
                                  </m:r>
                                </m:e>
                              </m:d>
                            </m:sup>
                          </m:sSup>
                        </m:den>
                      </m:f>
                    </m:e>
                  </m:d>
                </m:oMath>
              </a14:m>
              <a:r>
                <a:rPr lang="es-PE" sz="1800">
                  <a:solidFill>
                    <a:schemeClr val="tx1"/>
                  </a:solidFill>
                </a:rPr>
                <a:t>-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s-PE" sz="18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PE" sz="180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  <m:t>𝑆</m:t>
                              </m:r>
                            </m:e>
                            <m:sub>
                              <m: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  <m:t>𝑡</m:t>
                              </m:r>
                            </m:sub>
                          </m:sSub>
                        </m:num>
                        <m:den>
                          <m:sSup>
                            <m:sSupPr>
                              <m:ctrlPr>
                                <a:rPr lang="es-PE" sz="1800" i="1">
                                  <a:solidFill>
                                    <a:schemeClr val="tx1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1+</m:t>
                                  </m:r>
                                  <m:sSub>
                                    <m:sSubPr>
                                      <m:ctrlP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  <m:t>𝑅</m:t>
                                      </m:r>
                                    </m:e>
                                    <m:sub>
                                      <m:r>
                                        <a:rPr lang="es-PE" sz="1800" i="1">
                                          <a:solidFill>
                                            <a:schemeClr val="tx1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  <m:t>𝐹𝐶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d>
                                <m:dPr>
                                  <m:ctrlP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𝑇</m:t>
                                  </m:r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es-PE" sz="1800" i="1">
                                      <a:solidFill>
                                        <a:schemeClr val="tx1"/>
                                      </a:solidFill>
                                      <a:latin typeface="Cambria Math" panose="02040503050406030204" pitchFamily="18" charset="0"/>
                                    </a:rPr>
                                    <m:t>𝑡</m:t>
                                  </m:r>
                                </m:e>
                              </m:d>
                            </m:sup>
                          </m:sSup>
                        </m:den>
                      </m:f>
                    </m:e>
                  </m:d>
                </m:oMath>
              </a14:m>
              <a:endParaRPr lang="es-PE" sz="18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16"/>
            <xdr:cNvSpPr txBox="1">
              <a:spLocks noChangeAspect="1"/>
            </xdr:cNvSpPr>
          </xdr:nvSpPr>
          <xdr:spPr>
            <a:xfrm>
              <a:off x="404814" y="4532313"/>
              <a:ext cx="3357561" cy="441211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5000"/>
                    <a:lumOff val="95000"/>
                  </a:schemeClr>
                </a:gs>
                <a:gs pos="74000">
                  <a:schemeClr val="accent6">
                    <a:lumMod val="45000"/>
                    <a:lumOff val="55000"/>
                  </a:schemeClr>
                </a:gs>
                <a:gs pos="83000">
                  <a:schemeClr val="accent6">
                    <a:lumMod val="45000"/>
                    <a:lumOff val="55000"/>
                  </a:schemeClr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accent2">
                  <a:lumMod val="50000"/>
                </a:schemeClr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r>
                <a:rPr lang="es-PE" sz="1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〖𝑉𝑉〗_𝑡=[𝐹_𝑇/(1+𝑅_𝐷𝐶 )^((𝑇−𝑡) ) ]</a:t>
              </a:r>
              <a:r>
                <a:rPr lang="es-PE" sz="1800">
                  <a:solidFill>
                    <a:schemeClr val="tx1"/>
                  </a:solidFill>
                </a:rPr>
                <a:t>-</a:t>
              </a:r>
              <a:r>
                <a:rPr lang="es-PE" sz="1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[𝑆_𝑡/(1+𝑅_𝐹𝐶 )^((𝑇−𝑡) ) ]</a:t>
              </a:r>
              <a:endParaRPr lang="es-PE" sz="18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8</xdr:col>
      <xdr:colOff>131535</xdr:colOff>
      <xdr:row>3</xdr:row>
      <xdr:rowOff>190500</xdr:rowOff>
    </xdr:to>
    <xdr:pic>
      <xdr:nvPicPr>
        <xdr:cNvPr id="3" name="image1.png" descr="C:\Users\lc.linaresh\Desktop\logo-pbs-negro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508750" y="238125"/>
          <a:ext cx="2100035" cy="6667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upomarcela.com.pe/precio-cobre-peru-analisis-ho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showGridLines="0" zoomScaleNormal="100" workbookViewId="0">
      <selection activeCell="E75" sqref="E75"/>
    </sheetView>
  </sheetViews>
  <sheetFormatPr baseColWidth="10" defaultColWidth="11.5703125" defaultRowHeight="14.25" x14ac:dyDescent="0.2"/>
  <cols>
    <col min="1" max="1" width="5.5703125" style="3" customWidth="1"/>
    <col min="2" max="2" width="22.28515625" style="4" customWidth="1"/>
    <col min="3" max="4" width="12.7109375" style="4" customWidth="1"/>
    <col min="5" max="5" width="20.28515625" style="4" customWidth="1"/>
    <col min="6" max="11" width="12.7109375" style="4" customWidth="1"/>
    <col min="12" max="12" width="13.42578125" style="4" customWidth="1"/>
    <col min="13" max="14" width="11.5703125" style="4"/>
    <col min="15" max="15" width="16.140625" style="4" customWidth="1"/>
    <col min="16" max="16384" width="11.5703125" style="4"/>
  </cols>
  <sheetData>
    <row r="1" spans="1:10" ht="18.75" x14ac:dyDescent="0.3">
      <c r="B1" s="177" t="s">
        <v>0</v>
      </c>
      <c r="C1" s="177"/>
      <c r="D1" s="177"/>
      <c r="E1" s="177"/>
      <c r="F1" s="177"/>
    </row>
    <row r="2" spans="1:10" ht="18.75" x14ac:dyDescent="0.3">
      <c r="B2" s="10" t="s">
        <v>7</v>
      </c>
      <c r="C2" s="179" t="s">
        <v>17</v>
      </c>
      <c r="D2" s="180"/>
      <c r="E2" s="180"/>
      <c r="F2" s="181"/>
    </row>
    <row r="3" spans="1:10" ht="18.75" x14ac:dyDescent="0.3">
      <c r="B3" s="11" t="s">
        <v>8</v>
      </c>
      <c r="C3" s="182" t="s">
        <v>9</v>
      </c>
      <c r="D3" s="183"/>
      <c r="E3" s="183"/>
      <c r="F3" s="184"/>
    </row>
    <row r="4" spans="1:10" ht="18.75" x14ac:dyDescent="0.3">
      <c r="B4" s="11" t="s">
        <v>10</v>
      </c>
      <c r="C4" s="185" t="s">
        <v>11</v>
      </c>
      <c r="D4" s="186"/>
      <c r="E4" s="186"/>
      <c r="F4" s="187"/>
    </row>
    <row r="5" spans="1:10" ht="18.75" x14ac:dyDescent="0.3">
      <c r="B5" s="12" t="s">
        <v>20</v>
      </c>
      <c r="C5" s="188" t="s">
        <v>21</v>
      </c>
      <c r="D5" s="189"/>
      <c r="E5" s="189"/>
      <c r="F5" s="190"/>
    </row>
    <row r="7" spans="1:10" ht="15.75" x14ac:dyDescent="0.25">
      <c r="B7" s="13" t="s">
        <v>15</v>
      </c>
      <c r="C7"/>
      <c r="D7"/>
      <c r="E7"/>
    </row>
    <row r="8" spans="1:10" ht="15" customHeight="1" x14ac:dyDescent="0.25">
      <c r="B8" s="14" t="s">
        <v>12</v>
      </c>
      <c r="C8"/>
      <c r="D8"/>
      <c r="E8"/>
    </row>
    <row r="9" spans="1:10" ht="15" customHeight="1" x14ac:dyDescent="0.25">
      <c r="B9" s="15" t="s">
        <v>13</v>
      </c>
      <c r="C9"/>
      <c r="D9"/>
      <c r="E9"/>
    </row>
    <row r="10" spans="1:10" ht="15" customHeight="1" x14ac:dyDescent="0.25">
      <c r="B10" s="15" t="s">
        <v>14</v>
      </c>
      <c r="C10"/>
      <c r="D10"/>
      <c r="E10"/>
      <c r="J10"/>
    </row>
    <row r="11" spans="1:10" ht="15" customHeight="1" x14ac:dyDescent="0.25">
      <c r="B11" s="15" t="s">
        <v>3</v>
      </c>
      <c r="C11"/>
      <c r="D11"/>
      <c r="E11"/>
      <c r="J11"/>
    </row>
    <row r="12" spans="1:10" ht="15" x14ac:dyDescent="0.25">
      <c r="B12" s="2"/>
      <c r="C12" s="2"/>
      <c r="D12" s="7"/>
      <c r="E12" s="7"/>
      <c r="F12" s="7"/>
      <c r="G12" s="7"/>
      <c r="J12"/>
    </row>
    <row r="13" spans="1:10" ht="15" x14ac:dyDescent="0.25">
      <c r="B13" s="1"/>
      <c r="C13" s="1"/>
      <c r="J13"/>
    </row>
    <row r="14" spans="1:10" ht="15" x14ac:dyDescent="0.25">
      <c r="A14" s="35" t="s">
        <v>60</v>
      </c>
      <c r="B14" s="4" t="s">
        <v>61</v>
      </c>
      <c r="C14" s="36"/>
      <c r="J14"/>
    </row>
    <row r="15" spans="1:10" ht="15" x14ac:dyDescent="0.25">
      <c r="A15" s="35"/>
      <c r="B15" s="4" t="s">
        <v>16</v>
      </c>
      <c r="C15" s="29" t="s">
        <v>62</v>
      </c>
      <c r="J15"/>
    </row>
    <row r="16" spans="1:10" ht="15" x14ac:dyDescent="0.25">
      <c r="A16" s="35"/>
      <c r="C16" s="1"/>
      <c r="G16" s="4">
        <v>14714</v>
      </c>
      <c r="H16" s="4" t="s">
        <v>245</v>
      </c>
      <c r="I16" s="157" t="s">
        <v>246</v>
      </c>
    </row>
    <row r="17" spans="1:8" x14ac:dyDescent="0.2">
      <c r="A17" s="3" t="s">
        <v>41</v>
      </c>
      <c r="B17" s="37" t="s">
        <v>63</v>
      </c>
      <c r="C17" s="38"/>
      <c r="D17" s="39">
        <v>14714</v>
      </c>
    </row>
    <row r="18" spans="1:8" x14ac:dyDescent="0.2">
      <c r="B18" s="40" t="s">
        <v>64</v>
      </c>
      <c r="C18" s="28"/>
      <c r="D18" s="41">
        <v>3.5000000000000003E-2</v>
      </c>
    </row>
    <row r="19" spans="1:8" x14ac:dyDescent="0.2">
      <c r="B19" s="40" t="s">
        <v>65</v>
      </c>
      <c r="C19" s="28"/>
      <c r="D19" s="22">
        <v>9</v>
      </c>
    </row>
    <row r="20" spans="1:8" x14ac:dyDescent="0.2">
      <c r="B20" s="40" t="s">
        <v>66</v>
      </c>
      <c r="C20" s="28"/>
      <c r="D20" s="42">
        <f>+D19/12</f>
        <v>0.75</v>
      </c>
    </row>
    <row r="21" spans="1:8" x14ac:dyDescent="0.2">
      <c r="B21" s="24" t="s">
        <v>67</v>
      </c>
      <c r="C21" s="33"/>
      <c r="D21" s="43">
        <f>+EXP(D18*D20)</f>
        <v>1.0265975657863879</v>
      </c>
      <c r="E21" s="3"/>
      <c r="F21" s="26"/>
    </row>
    <row r="22" spans="1:8" ht="15" x14ac:dyDescent="0.25">
      <c r="B22" s="44" t="s">
        <v>68</v>
      </c>
      <c r="C22" s="45"/>
      <c r="D22" s="46">
        <f>+D17*D21</f>
        <v>15105.356582980912</v>
      </c>
      <c r="E22" s="3" t="s">
        <v>69</v>
      </c>
      <c r="F22" s="26"/>
    </row>
    <row r="23" spans="1:8" x14ac:dyDescent="0.2">
      <c r="B23" s="21" t="s">
        <v>70</v>
      </c>
      <c r="C23" s="28"/>
      <c r="D23" s="47">
        <v>0.03</v>
      </c>
      <c r="E23" s="3"/>
      <c r="G23" s="18"/>
    </row>
    <row r="24" spans="1:8" ht="15" x14ac:dyDescent="0.25">
      <c r="B24" s="48" t="s">
        <v>71</v>
      </c>
      <c r="C24" s="49"/>
      <c r="D24" s="50">
        <f>+D22*(1+D23)</f>
        <v>15558.51728047034</v>
      </c>
      <c r="E24" s="3" t="s">
        <v>72</v>
      </c>
      <c r="F24" s="26"/>
      <c r="G24" s="51"/>
      <c r="H24" s="18"/>
    </row>
    <row r="25" spans="1:8" x14ac:dyDescent="0.2">
      <c r="E25" s="3"/>
      <c r="F25" s="26"/>
      <c r="G25" s="3"/>
    </row>
    <row r="26" spans="1:8" ht="15" x14ac:dyDescent="0.25">
      <c r="B26" s="52" t="s">
        <v>73</v>
      </c>
      <c r="D26" s="31"/>
      <c r="G26" s="3"/>
    </row>
    <row r="27" spans="1:8" x14ac:dyDescent="0.2">
      <c r="B27" s="4" t="s">
        <v>74</v>
      </c>
      <c r="D27" s="3" t="s">
        <v>75</v>
      </c>
      <c r="G27" s="3"/>
      <c r="H27" s="53"/>
    </row>
    <row r="28" spans="1:8" x14ac:dyDescent="0.2">
      <c r="B28" s="4" t="s">
        <v>76</v>
      </c>
      <c r="D28" s="3" t="s">
        <v>77</v>
      </c>
      <c r="F28" s="26"/>
      <c r="G28" s="3"/>
    </row>
    <row r="29" spans="1:8" x14ac:dyDescent="0.2">
      <c r="B29" s="4" t="s">
        <v>78</v>
      </c>
      <c r="D29" s="27">
        <f>+D24/D21-D17</f>
        <v>441.42000000000007</v>
      </c>
      <c r="G29" s="3"/>
    </row>
    <row r="30" spans="1:8" x14ac:dyDescent="0.2">
      <c r="D30" s="27"/>
      <c r="G30" s="3"/>
    </row>
    <row r="31" spans="1:8" x14ac:dyDescent="0.2">
      <c r="B31" s="4" t="s">
        <v>79</v>
      </c>
      <c r="G31" s="3"/>
    </row>
    <row r="32" spans="1:8" x14ac:dyDescent="0.2">
      <c r="B32" s="29" t="s">
        <v>80</v>
      </c>
      <c r="G32" s="3"/>
    </row>
    <row r="33" spans="2:8" x14ac:dyDescent="0.2">
      <c r="B33" s="29" t="s">
        <v>81</v>
      </c>
      <c r="E33" s="27">
        <f>+D29</f>
        <v>441.42000000000007</v>
      </c>
      <c r="F33" s="26"/>
      <c r="G33" s="3"/>
    </row>
    <row r="34" spans="2:8" x14ac:dyDescent="0.2">
      <c r="D34" s="29"/>
      <c r="E34" s="54"/>
      <c r="F34" s="26"/>
      <c r="G34" s="3"/>
    </row>
    <row r="35" spans="2:8" x14ac:dyDescent="0.2">
      <c r="B35" s="16" t="s">
        <v>82</v>
      </c>
      <c r="G35" s="3"/>
    </row>
    <row r="36" spans="2:8" x14ac:dyDescent="0.2">
      <c r="G36" s="3"/>
    </row>
    <row r="37" spans="2:8" ht="15" x14ac:dyDescent="0.25">
      <c r="B37" s="36" t="s">
        <v>83</v>
      </c>
      <c r="C37" s="1"/>
      <c r="D37" s="5" t="s">
        <v>84</v>
      </c>
      <c r="E37" s="5" t="s">
        <v>1</v>
      </c>
      <c r="G37" s="3"/>
    </row>
    <row r="38" spans="2:8" x14ac:dyDescent="0.2">
      <c r="B38" s="55" t="s">
        <v>85</v>
      </c>
      <c r="C38" s="56" t="s">
        <v>86</v>
      </c>
      <c r="D38" s="57">
        <f>+D24/D21</f>
        <v>15155.42</v>
      </c>
      <c r="E38" s="58" t="s">
        <v>87</v>
      </c>
      <c r="G38" s="17">
        <v>0.5</v>
      </c>
      <c r="H38" s="18" t="s">
        <v>88</v>
      </c>
    </row>
    <row r="39" spans="2:8" x14ac:dyDescent="0.2">
      <c r="B39" s="59" t="s">
        <v>89</v>
      </c>
      <c r="C39" s="60" t="s">
        <v>90</v>
      </c>
      <c r="D39" s="61">
        <f>-D17</f>
        <v>-14714</v>
      </c>
      <c r="E39" s="62" t="s">
        <v>91</v>
      </c>
    </row>
    <row r="40" spans="2:8" x14ac:dyDescent="0.2">
      <c r="B40" s="63" t="s">
        <v>92</v>
      </c>
      <c r="C40" s="64" t="s">
        <v>93</v>
      </c>
      <c r="D40" s="65">
        <v>0</v>
      </c>
      <c r="E40" s="64" t="s">
        <v>55</v>
      </c>
      <c r="G40" s="17">
        <v>0.5</v>
      </c>
      <c r="H40" s="18" t="s">
        <v>94</v>
      </c>
    </row>
    <row r="41" spans="2:8" ht="15" x14ac:dyDescent="0.2">
      <c r="B41" s="63" t="s">
        <v>95</v>
      </c>
      <c r="C41" s="66" t="s">
        <v>2</v>
      </c>
      <c r="D41" s="67">
        <f>+SUM(D38:D40)</f>
        <v>441.42000000000007</v>
      </c>
      <c r="E41" s="68" t="s">
        <v>93</v>
      </c>
      <c r="G41" s="17">
        <v>0.5</v>
      </c>
      <c r="H41" s="18" t="s">
        <v>96</v>
      </c>
    </row>
    <row r="42" spans="2:8" x14ac:dyDescent="0.2">
      <c r="B42" s="29" t="s">
        <v>97</v>
      </c>
      <c r="E42" s="6"/>
      <c r="G42" s="3"/>
    </row>
    <row r="43" spans="2:8" x14ac:dyDescent="0.2">
      <c r="B43" s="29" t="s">
        <v>98</v>
      </c>
      <c r="E43" s="6"/>
      <c r="G43" s="3"/>
    </row>
    <row r="44" spans="2:8" x14ac:dyDescent="0.2">
      <c r="B44" s="3"/>
      <c r="D44" s="29"/>
      <c r="E44" s="6"/>
      <c r="G44" s="3"/>
    </row>
    <row r="45" spans="2:8" x14ac:dyDescent="0.2">
      <c r="B45" s="3"/>
      <c r="E45" s="6"/>
      <c r="G45" s="3"/>
    </row>
    <row r="46" spans="2:8" x14ac:dyDescent="0.2">
      <c r="B46" s="69" t="s">
        <v>99</v>
      </c>
      <c r="E46" s="6"/>
      <c r="G46" s="3"/>
    </row>
    <row r="47" spans="2:8" x14ac:dyDescent="0.2">
      <c r="B47" s="29"/>
      <c r="E47" s="6"/>
      <c r="G47" s="3"/>
    </row>
    <row r="48" spans="2:8" ht="15" x14ac:dyDescent="0.25">
      <c r="B48" s="36" t="s">
        <v>83</v>
      </c>
      <c r="C48" s="1"/>
      <c r="D48" s="5" t="s">
        <v>84</v>
      </c>
      <c r="E48" s="5" t="s">
        <v>1</v>
      </c>
      <c r="G48" s="3"/>
    </row>
    <row r="49" spans="1:8" x14ac:dyDescent="0.2">
      <c r="B49" s="55" t="s">
        <v>100</v>
      </c>
      <c r="C49" s="56" t="s">
        <v>4</v>
      </c>
      <c r="D49" s="113">
        <f>+D17</f>
        <v>14714</v>
      </c>
      <c r="E49" s="70">
        <f>-D49*D21</f>
        <v>-15105.356582980912</v>
      </c>
      <c r="G49" s="17"/>
      <c r="H49" s="18"/>
    </row>
    <row r="50" spans="1:8" x14ac:dyDescent="0.2">
      <c r="B50" s="59" t="s">
        <v>89</v>
      </c>
      <c r="C50" s="60" t="s">
        <v>90</v>
      </c>
      <c r="D50" s="61">
        <f>-D17</f>
        <v>-14714</v>
      </c>
      <c r="E50" s="62" t="s">
        <v>91</v>
      </c>
      <c r="G50" s="3"/>
    </row>
    <row r="51" spans="1:8" x14ac:dyDescent="0.2">
      <c r="B51" s="63" t="s">
        <v>92</v>
      </c>
      <c r="C51" s="64" t="s">
        <v>93</v>
      </c>
      <c r="D51" s="65">
        <v>0</v>
      </c>
      <c r="E51" s="71">
        <f>+D24</f>
        <v>15558.51728047034</v>
      </c>
      <c r="G51" s="17">
        <v>0.5</v>
      </c>
      <c r="H51" s="18" t="s">
        <v>248</v>
      </c>
    </row>
    <row r="52" spans="1:8" ht="15" x14ac:dyDescent="0.2">
      <c r="B52" s="63" t="s">
        <v>95</v>
      </c>
      <c r="C52" s="66" t="s">
        <v>2</v>
      </c>
      <c r="D52" s="67">
        <f>+SUM(D49:D51)</f>
        <v>0</v>
      </c>
      <c r="E52" s="72">
        <f>+E49+E51</f>
        <v>453.16069748942755</v>
      </c>
      <c r="G52" s="17">
        <v>0.5</v>
      </c>
      <c r="H52" s="18" t="s">
        <v>187</v>
      </c>
    </row>
    <row r="53" spans="1:8" x14ac:dyDescent="0.2">
      <c r="C53" s="3"/>
      <c r="F53" s="6"/>
      <c r="G53" s="3"/>
    </row>
    <row r="54" spans="1:8" x14ac:dyDescent="0.2">
      <c r="E54" s="3"/>
      <c r="G54" s="3"/>
    </row>
    <row r="55" spans="1:8" ht="15" x14ac:dyDescent="0.25">
      <c r="A55" s="3" t="s">
        <v>43</v>
      </c>
      <c r="B55" s="1" t="s">
        <v>244</v>
      </c>
      <c r="E55" s="3"/>
      <c r="F55" s="26"/>
      <c r="G55" s="6"/>
    </row>
    <row r="56" spans="1:8" ht="15" x14ac:dyDescent="0.25">
      <c r="C56" s="1"/>
      <c r="E56" s="3"/>
      <c r="F56" s="26"/>
      <c r="G56" s="6"/>
    </row>
    <row r="57" spans="1:8" ht="15" x14ac:dyDescent="0.25">
      <c r="B57" s="20" t="s">
        <v>101</v>
      </c>
      <c r="C57" s="73"/>
      <c r="D57" s="74">
        <f>+D17</f>
        <v>14714</v>
      </c>
      <c r="E57" s="3"/>
      <c r="F57" s="26"/>
      <c r="G57" s="6"/>
    </row>
    <row r="58" spans="1:8" ht="15" x14ac:dyDescent="0.25">
      <c r="B58" s="21" t="s">
        <v>102</v>
      </c>
      <c r="C58" s="75"/>
      <c r="D58" s="41">
        <f>+D18</f>
        <v>3.5000000000000003E-2</v>
      </c>
      <c r="E58" s="3"/>
      <c r="F58" s="26"/>
      <c r="G58" s="6"/>
    </row>
    <row r="59" spans="1:8" ht="15" x14ac:dyDescent="0.25">
      <c r="B59" s="21" t="s">
        <v>65</v>
      </c>
      <c r="C59" s="75"/>
      <c r="D59" s="22">
        <v>9</v>
      </c>
      <c r="E59" s="3"/>
      <c r="F59" s="26"/>
      <c r="G59" s="6"/>
    </row>
    <row r="60" spans="1:8" ht="15" x14ac:dyDescent="0.25">
      <c r="B60" s="21" t="s">
        <v>66</v>
      </c>
      <c r="C60" s="75"/>
      <c r="D60" s="42">
        <f>+D59/12</f>
        <v>0.75</v>
      </c>
      <c r="E60" s="3"/>
      <c r="F60" s="26"/>
      <c r="G60" s="6"/>
    </row>
    <row r="61" spans="1:8" ht="15" x14ac:dyDescent="0.25">
      <c r="B61" s="24" t="s">
        <v>103</v>
      </c>
      <c r="C61" s="76"/>
      <c r="D61" s="43">
        <f>+EXP(D58*D60)</f>
        <v>1.0265975657863879</v>
      </c>
      <c r="E61" s="3"/>
      <c r="F61" s="26"/>
      <c r="G61" s="6"/>
    </row>
    <row r="62" spans="1:8" ht="15" x14ac:dyDescent="0.25">
      <c r="B62" s="48" t="s">
        <v>104</v>
      </c>
      <c r="C62" s="49"/>
      <c r="D62" s="77">
        <f>+D57*D61</f>
        <v>15105.356582980912</v>
      </c>
      <c r="G62" s="17">
        <v>0.5</v>
      </c>
      <c r="H62" s="78" t="s">
        <v>186</v>
      </c>
    </row>
    <row r="63" spans="1:8" x14ac:dyDescent="0.2">
      <c r="E63" s="3"/>
      <c r="G63" s="3"/>
      <c r="H63" s="79"/>
    </row>
    <row r="64" spans="1:8" ht="15" x14ac:dyDescent="0.25">
      <c r="B64" s="1" t="s">
        <v>243</v>
      </c>
      <c r="G64" s="3"/>
      <c r="H64" s="79"/>
    </row>
    <row r="65" spans="2:8" x14ac:dyDescent="0.2">
      <c r="B65" s="29" t="s">
        <v>105</v>
      </c>
      <c r="E65" s="29"/>
      <c r="G65" s="3"/>
      <c r="H65" s="79"/>
    </row>
    <row r="66" spans="2:8" x14ac:dyDescent="0.2">
      <c r="B66" s="29" t="s">
        <v>106</v>
      </c>
      <c r="E66" s="29"/>
      <c r="G66" s="17">
        <v>0.5</v>
      </c>
      <c r="H66" s="78" t="s">
        <v>270</v>
      </c>
    </row>
    <row r="67" spans="2:8" ht="15" x14ac:dyDescent="0.25">
      <c r="B67" s="1"/>
      <c r="E67" s="3"/>
      <c r="G67" s="3"/>
      <c r="H67" s="79"/>
    </row>
    <row r="68" spans="2:8" x14ac:dyDescent="0.2">
      <c r="B68" s="20" t="s">
        <v>107</v>
      </c>
      <c r="C68" s="38"/>
      <c r="D68" s="39">
        <v>15450</v>
      </c>
      <c r="E68" s="3"/>
      <c r="G68" s="3"/>
      <c r="H68" s="79"/>
    </row>
    <row r="69" spans="2:8" x14ac:dyDescent="0.2">
      <c r="B69" s="40" t="s">
        <v>64</v>
      </c>
      <c r="C69" s="28"/>
      <c r="D69" s="41">
        <v>3.7499999999999999E-2</v>
      </c>
      <c r="E69" s="3"/>
      <c r="G69" s="3"/>
      <c r="H69" s="79"/>
    </row>
    <row r="70" spans="2:8" x14ac:dyDescent="0.2">
      <c r="B70" s="40" t="s">
        <v>108</v>
      </c>
      <c r="C70" s="28"/>
      <c r="D70" s="22">
        <f>+D59</f>
        <v>9</v>
      </c>
      <c r="E70" s="3"/>
      <c r="G70" s="3"/>
    </row>
    <row r="71" spans="2:8" x14ac:dyDescent="0.2">
      <c r="B71" s="40" t="s">
        <v>42</v>
      </c>
      <c r="C71" s="28"/>
      <c r="D71" s="22">
        <v>6</v>
      </c>
      <c r="E71" s="3"/>
      <c r="G71" s="17"/>
      <c r="H71" s="78"/>
    </row>
    <row r="72" spans="2:8" x14ac:dyDescent="0.2">
      <c r="B72" s="40" t="s">
        <v>109</v>
      </c>
      <c r="C72" s="28"/>
      <c r="D72" s="80">
        <f>+D70-D71</f>
        <v>3</v>
      </c>
      <c r="E72" s="3"/>
      <c r="G72" s="17"/>
      <c r="H72" s="78"/>
    </row>
    <row r="73" spans="2:8" x14ac:dyDescent="0.2">
      <c r="B73" s="40" t="s">
        <v>110</v>
      </c>
      <c r="C73" s="28"/>
      <c r="D73" s="81">
        <f>+D72/12</f>
        <v>0.25</v>
      </c>
      <c r="E73" s="3"/>
      <c r="G73" s="17"/>
      <c r="H73" s="78"/>
    </row>
    <row r="74" spans="2:8" x14ac:dyDescent="0.2">
      <c r="B74" s="24" t="s">
        <v>67</v>
      </c>
      <c r="C74" s="33"/>
      <c r="D74" s="82">
        <f>+EXP(D69*D73)</f>
        <v>1.009419082964071</v>
      </c>
      <c r="E74" s="3"/>
      <c r="G74" s="17"/>
      <c r="H74" s="78"/>
    </row>
    <row r="75" spans="2:8" ht="15" x14ac:dyDescent="0.25">
      <c r="B75" s="83" t="s">
        <v>111</v>
      </c>
      <c r="C75" s="84"/>
      <c r="D75" s="156">
        <f>+D62/D74-D68</f>
        <v>-485.59439492133242</v>
      </c>
      <c r="E75" s="85" t="s">
        <v>112</v>
      </c>
      <c r="G75" s="17">
        <v>0.5</v>
      </c>
      <c r="H75" s="78" t="s">
        <v>113</v>
      </c>
    </row>
    <row r="76" spans="2:8" x14ac:dyDescent="0.2">
      <c r="B76" s="23" t="s">
        <v>114</v>
      </c>
      <c r="C76" s="34"/>
      <c r="D76" s="86">
        <v>100</v>
      </c>
      <c r="E76" s="3"/>
      <c r="G76" s="3"/>
      <c r="H76" s="79"/>
    </row>
    <row r="77" spans="2:8" ht="15" x14ac:dyDescent="0.25">
      <c r="B77" s="48" t="s">
        <v>115</v>
      </c>
      <c r="C77" s="49"/>
      <c r="D77" s="77">
        <f>+D75*D76</f>
        <v>-48559.439492133242</v>
      </c>
      <c r="E77" s="3"/>
      <c r="G77" s="26"/>
      <c r="H77" s="78"/>
    </row>
    <row r="78" spans="2:8" x14ac:dyDescent="0.2">
      <c r="E78" s="3"/>
      <c r="G78" s="3"/>
      <c r="H78" s="79"/>
    </row>
    <row r="79" spans="2:8" x14ac:dyDescent="0.2">
      <c r="B79" s="4" t="s">
        <v>116</v>
      </c>
      <c r="G79" s="26">
        <v>0.5</v>
      </c>
      <c r="H79" s="78" t="s">
        <v>117</v>
      </c>
    </row>
    <row r="80" spans="2:8" x14ac:dyDescent="0.2">
      <c r="B80" s="4" t="s">
        <v>118</v>
      </c>
      <c r="E80" s="3"/>
      <c r="G80" s="3"/>
      <c r="H80" s="79"/>
    </row>
    <row r="81" spans="2:8" x14ac:dyDescent="0.2">
      <c r="B81" s="4" t="s">
        <v>119</v>
      </c>
      <c r="E81" s="3"/>
    </row>
    <row r="82" spans="2:8" x14ac:dyDescent="0.2">
      <c r="B82" s="4" t="s">
        <v>120</v>
      </c>
      <c r="E82" s="3"/>
      <c r="G82" s="26">
        <v>0.5</v>
      </c>
      <c r="H82" s="18" t="s">
        <v>121</v>
      </c>
    </row>
    <row r="83" spans="2:8" x14ac:dyDescent="0.2">
      <c r="E83" s="3"/>
      <c r="G83" s="79"/>
    </row>
    <row r="84" spans="2:8" x14ac:dyDescent="0.2">
      <c r="E84" s="3"/>
      <c r="G84" s="79"/>
    </row>
  </sheetData>
  <mergeCells count="5">
    <mergeCell ref="B1:F1"/>
    <mergeCell ref="C2:F2"/>
    <mergeCell ref="C3:F3"/>
    <mergeCell ref="C4:F4"/>
    <mergeCell ref="C5:F5"/>
  </mergeCells>
  <hyperlinks>
    <hyperlink ref="I16" r:id="rId1" display="https://grupomarcela.com.pe/precio-cobre-peru-analisis-hoy/" xr:uid="{8AA4C0AC-5540-4E5E-8B83-A9176A295A68}"/>
  </hyperlinks>
  <pageMargins left="0.7" right="0.7" top="0.75" bottom="0.75" header="0.3" footer="0.3"/>
  <pageSetup orientation="portrait" r:id="rId2"/>
  <ignoredErrors>
    <ignoredError sqref="C40:F41 C51" numberStoredAsText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showGridLines="0" zoomScaleNormal="100" workbookViewId="0">
      <selection activeCell="I27" sqref="I27"/>
    </sheetView>
  </sheetViews>
  <sheetFormatPr baseColWidth="10" defaultColWidth="11.5703125" defaultRowHeight="14.25" x14ac:dyDescent="0.2"/>
  <cols>
    <col min="1" max="1" width="6.85546875" style="3" customWidth="1"/>
    <col min="2" max="2" width="13.85546875" style="4" customWidth="1"/>
    <col min="3" max="10" width="12.7109375" style="4" customWidth="1"/>
    <col min="11" max="11" width="10.7109375" style="4" customWidth="1"/>
    <col min="12" max="12" width="15.28515625" style="4" customWidth="1"/>
    <col min="13" max="14" width="14.42578125" style="4" bestFit="1" customWidth="1"/>
    <col min="15" max="15" width="11.5703125" style="4"/>
    <col min="16" max="16" width="13.42578125" style="4" customWidth="1"/>
    <col min="17" max="18" width="11.5703125" style="4"/>
    <col min="19" max="19" width="16.140625" style="4" customWidth="1"/>
    <col min="20" max="16384" width="11.5703125" style="4"/>
  </cols>
  <sheetData>
    <row r="1" spans="1:8" ht="18.75" x14ac:dyDescent="0.3">
      <c r="B1" s="177" t="s">
        <v>0</v>
      </c>
      <c r="C1" s="177"/>
      <c r="D1" s="177"/>
      <c r="E1" s="177"/>
      <c r="F1" s="177"/>
    </row>
    <row r="2" spans="1:8" ht="18.75" x14ac:dyDescent="0.3">
      <c r="B2" s="10" t="s">
        <v>7</v>
      </c>
      <c r="C2" s="179" t="s">
        <v>17</v>
      </c>
      <c r="D2" s="180"/>
      <c r="E2" s="180"/>
      <c r="F2" s="181"/>
    </row>
    <row r="3" spans="1:8" ht="18.75" x14ac:dyDescent="0.3">
      <c r="B3" s="11" t="s">
        <v>8</v>
      </c>
      <c r="C3" s="182" t="s">
        <v>9</v>
      </c>
      <c r="D3" s="183"/>
      <c r="E3" s="183"/>
      <c r="F3" s="184"/>
    </row>
    <row r="4" spans="1:8" ht="18.75" x14ac:dyDescent="0.3">
      <c r="B4" s="11" t="s">
        <v>10</v>
      </c>
      <c r="C4" s="185" t="s">
        <v>11</v>
      </c>
      <c r="D4" s="186"/>
      <c r="E4" s="186"/>
      <c r="F4" s="187"/>
    </row>
    <row r="5" spans="1:8" ht="18.75" x14ac:dyDescent="0.3">
      <c r="B5" s="12" t="s">
        <v>20</v>
      </c>
      <c r="C5" s="188" t="s">
        <v>21</v>
      </c>
      <c r="D5" s="189"/>
      <c r="E5" s="189"/>
      <c r="F5" s="190"/>
    </row>
    <row r="7" spans="1:8" ht="15" customHeight="1" x14ac:dyDescent="0.25">
      <c r="B7" s="13" t="s">
        <v>15</v>
      </c>
      <c r="C7"/>
      <c r="D7"/>
      <c r="E7"/>
    </row>
    <row r="8" spans="1:8" ht="15" customHeight="1" x14ac:dyDescent="0.25">
      <c r="B8" s="14" t="s">
        <v>12</v>
      </c>
      <c r="C8"/>
      <c r="D8"/>
      <c r="E8"/>
    </row>
    <row r="9" spans="1:8" ht="15" customHeight="1" x14ac:dyDescent="0.25">
      <c r="B9" s="15" t="s">
        <v>13</v>
      </c>
      <c r="C9"/>
      <c r="D9"/>
      <c r="E9"/>
    </row>
    <row r="10" spans="1:8" ht="15" customHeight="1" x14ac:dyDescent="0.25">
      <c r="B10" s="15" t="s">
        <v>14</v>
      </c>
      <c r="C10"/>
      <c r="D10"/>
      <c r="E10"/>
    </row>
    <row r="11" spans="1:8" ht="15" customHeight="1" x14ac:dyDescent="0.25">
      <c r="B11" s="15" t="s">
        <v>3</v>
      </c>
      <c r="C11"/>
      <c r="D11"/>
      <c r="E11"/>
    </row>
    <row r="12" spans="1:8" ht="15" customHeight="1" x14ac:dyDescent="0.25">
      <c r="B12" s="2"/>
      <c r="C12" s="2"/>
      <c r="D12" s="7"/>
      <c r="E12" s="7"/>
      <c r="F12" s="7"/>
      <c r="G12" s="7"/>
    </row>
    <row r="13" spans="1:8" ht="15" customHeight="1" x14ac:dyDescent="0.25">
      <c r="A13" s="5"/>
      <c r="D13" s="8"/>
      <c r="E13" s="8"/>
      <c r="F13" s="8"/>
      <c r="G13" s="3"/>
      <c r="H13" s="6"/>
    </row>
    <row r="14" spans="1:8" ht="15" x14ac:dyDescent="0.25">
      <c r="A14" s="5" t="s">
        <v>179</v>
      </c>
      <c r="B14" s="4" t="s">
        <v>122</v>
      </c>
      <c r="D14" s="30">
        <v>1100000</v>
      </c>
      <c r="E14" s="25"/>
      <c r="F14" s="25"/>
      <c r="G14" s="3"/>
      <c r="H14" s="6"/>
    </row>
    <row r="15" spans="1:8" x14ac:dyDescent="0.2">
      <c r="B15" s="4" t="s">
        <v>123</v>
      </c>
      <c r="D15" s="3">
        <v>6</v>
      </c>
    </row>
    <row r="16" spans="1:8" x14ac:dyDescent="0.2">
      <c r="B16" s="4" t="s">
        <v>124</v>
      </c>
      <c r="D16" s="87">
        <f>+D15/12</f>
        <v>0.5</v>
      </c>
    </row>
    <row r="18" spans="1:9" ht="15" x14ac:dyDescent="0.25">
      <c r="B18" s="193" t="s">
        <v>125</v>
      </c>
      <c r="C18" s="193"/>
      <c r="D18" s="193"/>
      <c r="E18" s="193"/>
      <c r="F18" s="193"/>
      <c r="G18"/>
      <c r="H18"/>
    </row>
    <row r="19" spans="1:9" ht="15" x14ac:dyDescent="0.25">
      <c r="B19" s="88" t="s">
        <v>126</v>
      </c>
      <c r="C19" s="191" t="s">
        <v>180</v>
      </c>
      <c r="D19" s="192"/>
      <c r="E19" s="89">
        <v>46203</v>
      </c>
      <c r="F19" s="90">
        <v>46203</v>
      </c>
      <c r="H19" s="91"/>
    </row>
    <row r="20" spans="1:9" ht="15" x14ac:dyDescent="0.25">
      <c r="B20" s="92"/>
      <c r="C20" s="93" t="s">
        <v>127</v>
      </c>
      <c r="D20" s="94" t="s">
        <v>128</v>
      </c>
      <c r="E20" s="95" t="s">
        <v>129</v>
      </c>
      <c r="F20" s="96" t="s">
        <v>129</v>
      </c>
    </row>
    <row r="21" spans="1:9" ht="15" x14ac:dyDescent="0.25">
      <c r="B21" s="97" t="s">
        <v>130</v>
      </c>
      <c r="C21" s="98">
        <v>3.407</v>
      </c>
      <c r="D21" s="99">
        <v>3.4079999999999999</v>
      </c>
      <c r="E21" s="99">
        <v>3.3820000000000001</v>
      </c>
      <c r="F21" s="100">
        <v>3.4209999999999998</v>
      </c>
    </row>
    <row r="22" spans="1:9" ht="15" x14ac:dyDescent="0.25">
      <c r="B22" s="97" t="s">
        <v>131</v>
      </c>
      <c r="C22" s="101">
        <v>230</v>
      </c>
      <c r="D22" s="102">
        <v>250</v>
      </c>
      <c r="E22" s="103"/>
      <c r="F22" s="100"/>
    </row>
    <row r="23" spans="1:9" ht="15" x14ac:dyDescent="0.25">
      <c r="B23" s="104" t="s">
        <v>132</v>
      </c>
      <c r="C23" s="105">
        <f>+C21+C22/10000</f>
        <v>3.43</v>
      </c>
      <c r="D23" s="106">
        <f>+D21+D22/10000</f>
        <v>3.4329999999999998</v>
      </c>
      <c r="E23" s="105"/>
      <c r="F23" s="104"/>
      <c r="H23"/>
      <c r="I23"/>
    </row>
    <row r="26" spans="1:9" x14ac:dyDescent="0.2">
      <c r="A26" s="3" t="s">
        <v>41</v>
      </c>
      <c r="B26" s="4" t="s">
        <v>133</v>
      </c>
    </row>
    <row r="27" spans="1:9" x14ac:dyDescent="0.2">
      <c r="B27" s="4" t="s">
        <v>134</v>
      </c>
      <c r="C27" s="107">
        <f>-D14</f>
        <v>-1100000</v>
      </c>
    </row>
    <row r="28" spans="1:9" x14ac:dyDescent="0.2">
      <c r="B28" s="4" t="s">
        <v>135</v>
      </c>
      <c r="C28" s="107">
        <f>+D14</f>
        <v>1100000</v>
      </c>
    </row>
    <row r="29" spans="1:9" x14ac:dyDescent="0.2">
      <c r="B29" s="4" t="s">
        <v>136</v>
      </c>
    </row>
    <row r="30" spans="1:9" x14ac:dyDescent="0.2">
      <c r="B30" s="4" t="s">
        <v>137</v>
      </c>
    </row>
    <row r="31" spans="1:9" x14ac:dyDescent="0.2">
      <c r="B31" s="4" t="s">
        <v>138</v>
      </c>
      <c r="C31" s="31">
        <f>+D23</f>
        <v>3.4329999999999998</v>
      </c>
      <c r="H31" s="51">
        <v>0.5</v>
      </c>
      <c r="I31" s="18" t="s">
        <v>139</v>
      </c>
    </row>
    <row r="33" spans="1:9" x14ac:dyDescent="0.2">
      <c r="B33" s="16" t="s">
        <v>140</v>
      </c>
    </row>
    <row r="34" spans="1:9" x14ac:dyDescent="0.2">
      <c r="B34" s="4" t="s">
        <v>141</v>
      </c>
    </row>
    <row r="37" spans="1:9" x14ac:dyDescent="0.2">
      <c r="H37" s="51"/>
      <c r="I37" s="18"/>
    </row>
    <row r="42" spans="1:9" x14ac:dyDescent="0.2">
      <c r="B42" s="4" t="s">
        <v>142</v>
      </c>
    </row>
    <row r="43" spans="1:9" x14ac:dyDescent="0.2">
      <c r="B43" s="4" t="s">
        <v>143</v>
      </c>
      <c r="D43" s="158">
        <f>+(D23/D21)^(1/D16)-1</f>
        <v>1.4725173714430717E-2</v>
      </c>
      <c r="H43" s="51">
        <v>0.5</v>
      </c>
      <c r="I43" s="18" t="s">
        <v>185</v>
      </c>
    </row>
    <row r="44" spans="1:9" x14ac:dyDescent="0.2">
      <c r="D44" s="108"/>
    </row>
    <row r="45" spans="1:9" x14ac:dyDescent="0.2">
      <c r="B45" s="16" t="s">
        <v>144</v>
      </c>
    </row>
    <row r="46" spans="1:9" x14ac:dyDescent="0.2">
      <c r="B46" s="4" t="s">
        <v>145</v>
      </c>
      <c r="H46" s="51">
        <v>0.5</v>
      </c>
      <c r="I46" s="18" t="s">
        <v>146</v>
      </c>
    </row>
    <row r="48" spans="1:9" x14ac:dyDescent="0.2">
      <c r="A48" s="3" t="s">
        <v>43</v>
      </c>
      <c r="B48" s="4" t="s">
        <v>147</v>
      </c>
    </row>
    <row r="49" spans="2:9" x14ac:dyDescent="0.2">
      <c r="B49" s="4" t="s">
        <v>148</v>
      </c>
      <c r="E49" s="107">
        <f>-D14</f>
        <v>-1100000</v>
      </c>
    </row>
    <row r="50" spans="2:9" x14ac:dyDescent="0.2">
      <c r="B50" s="4" t="s">
        <v>149</v>
      </c>
      <c r="E50" s="107">
        <f>+D14</f>
        <v>1100000</v>
      </c>
    </row>
    <row r="51" spans="2:9" x14ac:dyDescent="0.2">
      <c r="B51" s="4" t="s">
        <v>150</v>
      </c>
      <c r="E51" s="109">
        <f>+E49+E50</f>
        <v>0</v>
      </c>
    </row>
    <row r="53" spans="2:9" ht="15" x14ac:dyDescent="0.25">
      <c r="B53" s="110" t="s">
        <v>5</v>
      </c>
      <c r="C53" s="4" t="s">
        <v>151</v>
      </c>
      <c r="H53" s="51">
        <v>0.5</v>
      </c>
      <c r="I53" s="18" t="s">
        <v>152</v>
      </c>
    </row>
    <row r="54" spans="2:9" x14ac:dyDescent="0.2">
      <c r="C54" s="4" t="s">
        <v>153</v>
      </c>
    </row>
    <row r="55" spans="2:9" x14ac:dyDescent="0.2">
      <c r="C55" s="4" t="s">
        <v>154</v>
      </c>
    </row>
    <row r="56" spans="2:9" x14ac:dyDescent="0.2">
      <c r="C56" s="4" t="s">
        <v>155</v>
      </c>
    </row>
    <row r="57" spans="2:9" x14ac:dyDescent="0.2">
      <c r="C57" s="4" t="s">
        <v>156</v>
      </c>
    </row>
    <row r="59" spans="2:9" ht="15" x14ac:dyDescent="0.25">
      <c r="B59" s="110" t="s">
        <v>157</v>
      </c>
      <c r="C59" s="4" t="s">
        <v>158</v>
      </c>
      <c r="H59" s="51">
        <v>0.5</v>
      </c>
      <c r="I59" s="18" t="s">
        <v>159</v>
      </c>
    </row>
    <row r="60" spans="2:9" x14ac:dyDescent="0.2">
      <c r="C60" s="4" t="s">
        <v>160</v>
      </c>
    </row>
    <row r="61" spans="2:9" x14ac:dyDescent="0.2">
      <c r="C61" s="4" t="s">
        <v>161</v>
      </c>
    </row>
    <row r="62" spans="2:9" x14ac:dyDescent="0.2">
      <c r="C62" s="4" t="s">
        <v>162</v>
      </c>
    </row>
    <row r="64" spans="2:9" ht="15" x14ac:dyDescent="0.25">
      <c r="B64" s="110" t="s">
        <v>6</v>
      </c>
      <c r="C64" s="4" t="s">
        <v>163</v>
      </c>
      <c r="H64" s="51">
        <v>0.5</v>
      </c>
      <c r="I64" s="18" t="s">
        <v>164</v>
      </c>
    </row>
    <row r="65" spans="1:9" x14ac:dyDescent="0.2">
      <c r="C65" s="4" t="s">
        <v>165</v>
      </c>
    </row>
    <row r="66" spans="1:9" x14ac:dyDescent="0.2">
      <c r="C66" s="4" t="s">
        <v>166</v>
      </c>
    </row>
    <row r="67" spans="1:9" x14ac:dyDescent="0.2">
      <c r="C67" s="4" t="s">
        <v>167</v>
      </c>
    </row>
    <row r="68" spans="1:9" ht="18.75" x14ac:dyDescent="0.35">
      <c r="C68" s="4" t="s">
        <v>168</v>
      </c>
    </row>
    <row r="69" spans="1:9" x14ac:dyDescent="0.2">
      <c r="H69" s="51"/>
      <c r="I69" s="18"/>
    </row>
    <row r="70" spans="1:9" x14ac:dyDescent="0.2">
      <c r="C70" s="4" t="s">
        <v>181</v>
      </c>
      <c r="H70" s="51">
        <v>0.5</v>
      </c>
      <c r="I70" s="18" t="s">
        <v>182</v>
      </c>
    </row>
    <row r="72" spans="1:9" x14ac:dyDescent="0.2">
      <c r="A72" s="3" t="s">
        <v>51</v>
      </c>
      <c r="B72" s="4" t="s">
        <v>169</v>
      </c>
    </row>
    <row r="73" spans="1:9" x14ac:dyDescent="0.2">
      <c r="D73" s="111" t="s">
        <v>247</v>
      </c>
      <c r="E73" s="111" t="s">
        <v>247</v>
      </c>
    </row>
    <row r="74" spans="1:9" x14ac:dyDescent="0.2">
      <c r="B74" s="4" t="s">
        <v>170</v>
      </c>
      <c r="D74" s="31">
        <f>+E21</f>
        <v>3.3820000000000001</v>
      </c>
      <c r="E74" s="31">
        <f>+F21</f>
        <v>3.4209999999999998</v>
      </c>
    </row>
    <row r="75" spans="1:9" x14ac:dyDescent="0.2">
      <c r="B75" s="4" t="s">
        <v>171</v>
      </c>
      <c r="D75" s="30">
        <f>+(D21-E21)*D14</f>
        <v>28599.999999999782</v>
      </c>
      <c r="E75" s="30">
        <f>+(D21-F21)*D14</f>
        <v>-14299.999999999891</v>
      </c>
      <c r="H75" s="112" t="s">
        <v>172</v>
      </c>
      <c r="I75" s="18" t="s">
        <v>183</v>
      </c>
    </row>
    <row r="76" spans="1:9" x14ac:dyDescent="0.2">
      <c r="B76" s="4" t="s">
        <v>173</v>
      </c>
      <c r="D76" s="30">
        <f>+(E21-C31)*D14</f>
        <v>-56099.99999999968</v>
      </c>
      <c r="E76" s="30">
        <f>+(F21-C31)*D14</f>
        <v>-13200.000000000011</v>
      </c>
      <c r="H76" s="112" t="s">
        <v>172</v>
      </c>
      <c r="I76" s="18" t="s">
        <v>184</v>
      </c>
    </row>
    <row r="77" spans="1:9" x14ac:dyDescent="0.2">
      <c r="B77" s="4" t="s">
        <v>174</v>
      </c>
      <c r="D77" s="30">
        <f>+D75+D76</f>
        <v>-27499.999999999898</v>
      </c>
      <c r="E77" s="30">
        <f>+E75+E76</f>
        <v>-27499.999999999902</v>
      </c>
    </row>
    <row r="78" spans="1:9" x14ac:dyDescent="0.2">
      <c r="B78" s="4" t="s">
        <v>175</v>
      </c>
      <c r="D78" s="30">
        <f>+(D21-D23)*D14</f>
        <v>-27499.999999999902</v>
      </c>
      <c r="E78" s="30">
        <f>+(D21-D23)*D14</f>
        <v>-27499.999999999902</v>
      </c>
      <c r="F78" s="3"/>
    </row>
    <row r="80" spans="1:9" x14ac:dyDescent="0.2">
      <c r="B80" s="4" t="s">
        <v>176</v>
      </c>
      <c r="H80" s="51">
        <v>0.5</v>
      </c>
      <c r="I80" s="18" t="s">
        <v>177</v>
      </c>
    </row>
    <row r="81" spans="2:9" x14ac:dyDescent="0.2">
      <c r="B81" s="4" t="s">
        <v>178</v>
      </c>
      <c r="H81" s="51"/>
      <c r="I81" s="18"/>
    </row>
  </sheetData>
  <mergeCells count="7">
    <mergeCell ref="C19:D19"/>
    <mergeCell ref="B1:F1"/>
    <mergeCell ref="C2:F2"/>
    <mergeCell ref="C3:F3"/>
    <mergeCell ref="C4:F4"/>
    <mergeCell ref="C5:F5"/>
    <mergeCell ref="B18:F18"/>
  </mergeCells>
  <pageMargins left="0.7" right="0.7" top="0.75" bottom="0.75" header="0.3" footer="0.3"/>
  <pageSetup orientation="portrait" r:id="rId1"/>
  <ignoredErrors>
    <ignoredError sqref="H75:H7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1"/>
  <sheetViews>
    <sheetView showGridLines="0" zoomScaleNormal="100" workbookViewId="0">
      <selection activeCell="G48" sqref="G48"/>
    </sheetView>
  </sheetViews>
  <sheetFormatPr baseColWidth="10" defaultColWidth="11.5703125" defaultRowHeight="14.25" x14ac:dyDescent="0.2"/>
  <cols>
    <col min="1" max="1" width="5.5703125" style="3" customWidth="1"/>
    <col min="2" max="2" width="22.140625" style="4" customWidth="1"/>
    <col min="3" max="3" width="17" style="4" customWidth="1"/>
    <col min="4" max="4" width="21.28515625" style="4" customWidth="1"/>
    <col min="5" max="5" width="20.42578125" style="4" customWidth="1"/>
    <col min="6" max="6" width="13.5703125" style="4" customWidth="1"/>
    <col min="7" max="7" width="18" style="4" customWidth="1"/>
    <col min="8" max="11" width="10.7109375" style="4" customWidth="1"/>
    <col min="12" max="13" width="11.5703125" style="4"/>
    <col min="14" max="14" width="16.140625" style="4" customWidth="1"/>
    <col min="15" max="16384" width="11.5703125" style="4"/>
  </cols>
  <sheetData>
    <row r="1" spans="1:7" ht="18.75" x14ac:dyDescent="0.3">
      <c r="B1" s="177" t="s">
        <v>0</v>
      </c>
      <c r="C1" s="177"/>
      <c r="D1" s="177"/>
      <c r="E1" s="178"/>
    </row>
    <row r="2" spans="1:7" ht="18.75" x14ac:dyDescent="0.3">
      <c r="B2" s="10" t="s">
        <v>7</v>
      </c>
      <c r="C2" s="179" t="s">
        <v>19</v>
      </c>
      <c r="D2" s="180"/>
      <c r="E2" s="181"/>
    </row>
    <row r="3" spans="1:7" ht="18.75" x14ac:dyDescent="0.3">
      <c r="B3" s="11" t="s">
        <v>8</v>
      </c>
      <c r="C3" s="182" t="s">
        <v>9</v>
      </c>
      <c r="D3" s="183"/>
      <c r="E3" s="184"/>
    </row>
    <row r="4" spans="1:7" ht="18.75" x14ac:dyDescent="0.3">
      <c r="B4" s="11" t="s">
        <v>10</v>
      </c>
      <c r="C4" s="185" t="s">
        <v>11</v>
      </c>
      <c r="D4" s="186"/>
      <c r="E4" s="187"/>
    </row>
    <row r="5" spans="1:7" ht="18.75" x14ac:dyDescent="0.3">
      <c r="B5" s="12" t="s">
        <v>20</v>
      </c>
      <c r="C5" s="188" t="s">
        <v>21</v>
      </c>
      <c r="D5" s="189"/>
      <c r="E5" s="190"/>
    </row>
    <row r="7" spans="1:7" ht="15.75" x14ac:dyDescent="0.25">
      <c r="B7" s="13" t="s">
        <v>15</v>
      </c>
      <c r="C7"/>
      <c r="D7"/>
      <c r="E7"/>
    </row>
    <row r="8" spans="1:7" ht="15.75" x14ac:dyDescent="0.25">
      <c r="B8" s="14" t="s">
        <v>12</v>
      </c>
      <c r="C8"/>
      <c r="D8"/>
      <c r="E8"/>
    </row>
    <row r="9" spans="1:7" ht="15.75" x14ac:dyDescent="0.25">
      <c r="B9" s="15" t="s">
        <v>13</v>
      </c>
      <c r="C9"/>
      <c r="D9"/>
      <c r="E9"/>
    </row>
    <row r="10" spans="1:7" ht="15.75" x14ac:dyDescent="0.25">
      <c r="B10" s="15" t="s">
        <v>14</v>
      </c>
      <c r="C10"/>
      <c r="D10"/>
      <c r="E10"/>
    </row>
    <row r="11" spans="1:7" ht="15.75" x14ac:dyDescent="0.25">
      <c r="B11" s="15" t="s">
        <v>3</v>
      </c>
      <c r="C11"/>
      <c r="D11"/>
      <c r="E11"/>
    </row>
    <row r="12" spans="1:7" ht="15" x14ac:dyDescent="0.25">
      <c r="B12" s="2"/>
      <c r="C12" s="2"/>
      <c r="D12" s="7"/>
      <c r="E12" s="7"/>
      <c r="F12" s="7"/>
      <c r="G12" s="7"/>
    </row>
    <row r="14" spans="1:7" x14ac:dyDescent="0.2">
      <c r="A14" s="3" t="s">
        <v>41</v>
      </c>
      <c r="B14" s="16" t="s">
        <v>22</v>
      </c>
    </row>
    <row r="15" spans="1:7" x14ac:dyDescent="0.2">
      <c r="B15" s="4" t="s">
        <v>23</v>
      </c>
      <c r="C15" s="3" t="s">
        <v>227</v>
      </c>
    </row>
    <row r="16" spans="1:7" x14ac:dyDescent="0.2">
      <c r="B16" s="4" t="s">
        <v>24</v>
      </c>
      <c r="C16" s="3" t="s">
        <v>228</v>
      </c>
    </row>
    <row r="17" spans="2:9" x14ac:dyDescent="0.2">
      <c r="B17" s="4" t="s">
        <v>25</v>
      </c>
      <c r="C17" s="3" t="s">
        <v>229</v>
      </c>
      <c r="H17" s="17">
        <v>0.5</v>
      </c>
      <c r="I17" s="18" t="s">
        <v>26</v>
      </c>
    </row>
    <row r="18" spans="2:9" x14ac:dyDescent="0.2">
      <c r="B18" s="4" t="s">
        <v>27</v>
      </c>
      <c r="C18" s="3" t="s">
        <v>230</v>
      </c>
    </row>
    <row r="19" spans="2:9" x14ac:dyDescent="0.2">
      <c r="B19" s="4" t="s">
        <v>28</v>
      </c>
      <c r="C19" s="3" t="s">
        <v>231</v>
      </c>
    </row>
    <row r="21" spans="2:9" x14ac:dyDescent="0.2">
      <c r="B21" s="16" t="s">
        <v>29</v>
      </c>
    </row>
    <row r="22" spans="2:9" x14ac:dyDescent="0.2">
      <c r="B22" s="16"/>
    </row>
    <row r="23" spans="2:9" x14ac:dyDescent="0.2">
      <c r="B23" s="16"/>
      <c r="H23" s="17">
        <v>0.5</v>
      </c>
      <c r="I23" s="18" t="s">
        <v>56</v>
      </c>
    </row>
    <row r="24" spans="2:9" x14ac:dyDescent="0.2">
      <c r="B24" s="16"/>
    </row>
    <row r="25" spans="2:9" x14ac:dyDescent="0.2">
      <c r="B25" s="16"/>
    </row>
    <row r="27" spans="2:9" x14ac:dyDescent="0.2">
      <c r="B27" s="4" t="s">
        <v>30</v>
      </c>
      <c r="C27" s="3" t="s">
        <v>31</v>
      </c>
      <c r="D27" s="3" t="s">
        <v>36</v>
      </c>
      <c r="E27" s="4" t="s">
        <v>37</v>
      </c>
      <c r="H27" s="17">
        <v>0.5</v>
      </c>
      <c r="I27" s="18" t="s">
        <v>59</v>
      </c>
    </row>
    <row r="29" spans="2:9" x14ac:dyDescent="0.2">
      <c r="B29" s="4" t="s">
        <v>34</v>
      </c>
      <c r="C29" s="3" t="s">
        <v>35</v>
      </c>
      <c r="D29" s="3" t="s">
        <v>32</v>
      </c>
      <c r="E29" s="4" t="s">
        <v>33</v>
      </c>
      <c r="H29" s="17">
        <v>0.5</v>
      </c>
      <c r="I29" s="18" t="s">
        <v>58</v>
      </c>
    </row>
    <row r="31" spans="2:9" x14ac:dyDescent="0.2">
      <c r="B31" s="4" t="s">
        <v>38</v>
      </c>
    </row>
    <row r="32" spans="2:9" x14ac:dyDescent="0.2">
      <c r="B32" s="4" t="s">
        <v>232</v>
      </c>
    </row>
    <row r="33" spans="1:10" x14ac:dyDescent="0.2">
      <c r="B33" s="4" t="s">
        <v>39</v>
      </c>
    </row>
    <row r="34" spans="1:10" x14ac:dyDescent="0.2">
      <c r="B34" s="4" t="s">
        <v>52</v>
      </c>
      <c r="C34" s="4" t="b">
        <v>0</v>
      </c>
    </row>
    <row r="35" spans="1:10" x14ac:dyDescent="0.2">
      <c r="A35" s="19"/>
      <c r="B35" s="7"/>
      <c r="C35" s="7"/>
      <c r="D35" s="7"/>
      <c r="E35" s="7"/>
      <c r="F35" s="7"/>
      <c r="G35" s="7"/>
      <c r="H35" s="7"/>
      <c r="I35" s="7"/>
      <c r="J35" s="7"/>
    </row>
    <row r="37" spans="1:10" ht="15.75" x14ac:dyDescent="0.25">
      <c r="B37" s="1" t="s">
        <v>250</v>
      </c>
      <c r="G37" s="15"/>
      <c r="H37"/>
      <c r="I37"/>
      <c r="J37"/>
    </row>
    <row r="38" spans="1:10" ht="15" x14ac:dyDescent="0.25">
      <c r="B38" s="159" t="s">
        <v>251</v>
      </c>
      <c r="C38" s="159" t="s">
        <v>252</v>
      </c>
      <c r="D38" s="159" t="s">
        <v>274</v>
      </c>
      <c r="E38" s="159" t="s">
        <v>253</v>
      </c>
      <c r="F38" s="159" t="s">
        <v>254</v>
      </c>
      <c r="G38" s="159" t="s">
        <v>255</v>
      </c>
      <c r="H38" s="159" t="s">
        <v>256</v>
      </c>
      <c r="J38"/>
    </row>
    <row r="39" spans="1:10" ht="15" x14ac:dyDescent="0.25">
      <c r="B39" s="141"/>
      <c r="C39" s="141"/>
      <c r="D39" s="141"/>
      <c r="E39" s="141"/>
      <c r="F39" s="141"/>
      <c r="G39" s="141"/>
      <c r="H39" s="22"/>
      <c r="J39"/>
    </row>
    <row r="40" spans="1:10" ht="15" x14ac:dyDescent="0.25">
      <c r="B40" s="141" t="s">
        <v>262</v>
      </c>
      <c r="C40" s="160" t="s">
        <v>263</v>
      </c>
      <c r="D40" s="141" t="s">
        <v>276</v>
      </c>
      <c r="E40" s="141" t="s">
        <v>264</v>
      </c>
      <c r="F40" s="141" t="s">
        <v>265</v>
      </c>
      <c r="G40" s="141" t="s">
        <v>40</v>
      </c>
      <c r="H40" s="160" t="s">
        <v>261</v>
      </c>
      <c r="I40" s="17">
        <v>1</v>
      </c>
      <c r="J40" s="18" t="s">
        <v>272</v>
      </c>
    </row>
    <row r="41" spans="1:10" x14ac:dyDescent="0.2">
      <c r="B41" s="141"/>
      <c r="C41" s="141"/>
      <c r="D41" s="141"/>
      <c r="E41" s="141"/>
      <c r="F41" s="141"/>
      <c r="G41" s="141"/>
      <c r="H41" s="22"/>
      <c r="I41" s="3"/>
    </row>
    <row r="42" spans="1:10" ht="15" x14ac:dyDescent="0.25">
      <c r="B42" s="143" t="s">
        <v>257</v>
      </c>
      <c r="C42" s="161" t="s">
        <v>258</v>
      </c>
      <c r="D42" s="143" t="s">
        <v>275</v>
      </c>
      <c r="E42" s="143" t="s">
        <v>259</v>
      </c>
      <c r="F42" s="143" t="s">
        <v>260</v>
      </c>
      <c r="G42" s="143" t="s">
        <v>40</v>
      </c>
      <c r="H42" s="162" t="s">
        <v>261</v>
      </c>
      <c r="I42" s="26">
        <v>1</v>
      </c>
      <c r="J42" s="18" t="s">
        <v>273</v>
      </c>
    </row>
    <row r="43" spans="1:10" ht="15" x14ac:dyDescent="0.25">
      <c r="B43" s="3"/>
      <c r="C43" s="5"/>
      <c r="D43" s="3"/>
      <c r="E43" s="3"/>
      <c r="F43" s="3"/>
      <c r="G43" s="3"/>
      <c r="H43" s="3"/>
    </row>
    <row r="44" spans="1:10" ht="15" x14ac:dyDescent="0.25">
      <c r="B44" s="4" t="s">
        <v>266</v>
      </c>
      <c r="G44" s="142"/>
      <c r="I44" s="17"/>
      <c r="J44" s="18"/>
    </row>
    <row r="45" spans="1:10" ht="15" x14ac:dyDescent="0.25">
      <c r="B45" s="4" t="s">
        <v>267</v>
      </c>
      <c r="G45" s="142"/>
      <c r="I45" s="17"/>
      <c r="J45" s="18"/>
    </row>
    <row r="46" spans="1:10" ht="15" x14ac:dyDescent="0.25">
      <c r="B46" s="4" t="s">
        <v>268</v>
      </c>
      <c r="G46" s="142"/>
      <c r="I46" s="17"/>
      <c r="J46" s="18"/>
    </row>
    <row r="47" spans="1:10" ht="15" x14ac:dyDescent="0.25">
      <c r="B47" s="4" t="s">
        <v>269</v>
      </c>
      <c r="G47" s="142"/>
      <c r="H47" s="17"/>
      <c r="I47" s="18"/>
      <c r="J47"/>
    </row>
    <row r="49" spans="1:11" x14ac:dyDescent="0.2">
      <c r="A49" s="19"/>
      <c r="B49" s="7"/>
      <c r="C49" s="7"/>
      <c r="D49" s="7"/>
      <c r="E49" s="7"/>
      <c r="F49" s="7"/>
      <c r="G49" s="7"/>
      <c r="H49" s="7"/>
      <c r="I49" s="7"/>
      <c r="J49" s="7"/>
    </row>
    <row r="51" spans="1:11" ht="15.75" x14ac:dyDescent="0.25">
      <c r="A51" s="3" t="s">
        <v>51</v>
      </c>
      <c r="B51" s="1" t="s">
        <v>233</v>
      </c>
      <c r="G51" s="15"/>
      <c r="H51"/>
      <c r="I51"/>
      <c r="J51"/>
    </row>
    <row r="52" spans="1:11" ht="15.75" x14ac:dyDescent="0.25">
      <c r="G52" s="15"/>
      <c r="H52"/>
      <c r="I52"/>
      <c r="J52"/>
    </row>
    <row r="53" spans="1:11" ht="15.75" x14ac:dyDescent="0.25">
      <c r="B53" s="4" t="s">
        <v>44</v>
      </c>
      <c r="G53" s="15"/>
      <c r="H53"/>
      <c r="I53"/>
      <c r="J53"/>
    </row>
    <row r="54" spans="1:11" ht="15.75" x14ac:dyDescent="0.25">
      <c r="B54" s="16" t="s">
        <v>45</v>
      </c>
      <c r="G54" s="15"/>
      <c r="H54"/>
      <c r="I54"/>
      <c r="J54"/>
    </row>
    <row r="55" spans="1:11" ht="15.75" x14ac:dyDescent="0.25">
      <c r="B55" s="3" t="s">
        <v>46</v>
      </c>
      <c r="C55" s="4" t="s">
        <v>18</v>
      </c>
      <c r="G55" s="15"/>
      <c r="J55"/>
    </row>
    <row r="56" spans="1:11" ht="15.75" x14ac:dyDescent="0.25">
      <c r="B56" s="3" t="s">
        <v>46</v>
      </c>
      <c r="C56" s="4" t="s">
        <v>47</v>
      </c>
      <c r="G56" s="15"/>
      <c r="J56"/>
    </row>
    <row r="57" spans="1:11" ht="15.75" x14ac:dyDescent="0.25">
      <c r="C57" s="4" t="s">
        <v>234</v>
      </c>
      <c r="G57" s="15"/>
      <c r="H57" s="17">
        <v>0.5</v>
      </c>
      <c r="I57" s="18" t="s">
        <v>53</v>
      </c>
      <c r="K57"/>
    </row>
    <row r="58" spans="1:11" ht="15.75" x14ac:dyDescent="0.25">
      <c r="C58" s="4" t="s">
        <v>235</v>
      </c>
      <c r="G58" s="15"/>
      <c r="H58" s="17"/>
      <c r="I58" s="18"/>
      <c r="K58"/>
    </row>
    <row r="59" spans="1:11" ht="15.75" x14ac:dyDescent="0.25">
      <c r="C59" s="4" t="s">
        <v>48</v>
      </c>
      <c r="G59" s="15"/>
      <c r="H59"/>
      <c r="I59"/>
      <c r="K59"/>
    </row>
    <row r="60" spans="1:11" ht="15.75" x14ac:dyDescent="0.25">
      <c r="C60" s="4" t="s">
        <v>240</v>
      </c>
      <c r="G60" s="15"/>
      <c r="H60" s="17">
        <v>0.5</v>
      </c>
      <c r="I60" s="18" t="s">
        <v>49</v>
      </c>
      <c r="K60"/>
    </row>
    <row r="61" spans="1:11" ht="15.75" x14ac:dyDescent="0.25">
      <c r="B61" s="16" t="s">
        <v>50</v>
      </c>
      <c r="G61" s="15"/>
      <c r="H61"/>
      <c r="I61"/>
      <c r="K61"/>
    </row>
    <row r="62" spans="1:11" ht="15.75" x14ac:dyDescent="0.25">
      <c r="B62" s="3" t="s">
        <v>46</v>
      </c>
      <c r="C62" s="4" t="s">
        <v>18</v>
      </c>
      <c r="G62" s="15"/>
      <c r="H62"/>
      <c r="I62"/>
      <c r="K62"/>
    </row>
    <row r="63" spans="1:11" ht="15.75" x14ac:dyDescent="0.25">
      <c r="B63" s="3" t="s">
        <v>46</v>
      </c>
      <c r="C63" s="4" t="s">
        <v>47</v>
      </c>
      <c r="G63" s="15"/>
      <c r="H63"/>
      <c r="I63"/>
      <c r="K63"/>
    </row>
    <row r="64" spans="1:11" ht="15.75" x14ac:dyDescent="0.25">
      <c r="C64" s="4" t="s">
        <v>234</v>
      </c>
      <c r="G64" s="15"/>
      <c r="H64" s="17">
        <v>0.5</v>
      </c>
      <c r="I64" s="18" t="s">
        <v>53</v>
      </c>
      <c r="K64"/>
    </row>
    <row r="65" spans="2:11" ht="15.75" x14ac:dyDescent="0.25">
      <c r="C65" s="4" t="s">
        <v>236</v>
      </c>
      <c r="G65" s="15"/>
      <c r="H65" s="17"/>
      <c r="I65" s="18"/>
      <c r="K65"/>
    </row>
    <row r="66" spans="2:11" ht="15.75" x14ac:dyDescent="0.25">
      <c r="C66" s="4" t="s">
        <v>237</v>
      </c>
      <c r="G66" s="15"/>
      <c r="H66" s="17"/>
      <c r="I66" s="18"/>
      <c r="K66"/>
    </row>
    <row r="67" spans="2:11" ht="15.75" x14ac:dyDescent="0.25">
      <c r="C67" s="4" t="s">
        <v>238</v>
      </c>
      <c r="G67" s="15"/>
      <c r="H67" s="17">
        <v>0.5</v>
      </c>
      <c r="I67" s="18" t="s">
        <v>241</v>
      </c>
      <c r="K67"/>
    </row>
    <row r="68" spans="2:11" ht="15.75" x14ac:dyDescent="0.25">
      <c r="C68" s="4" t="s">
        <v>242</v>
      </c>
      <c r="G68" s="15"/>
      <c r="H68"/>
      <c r="I68"/>
      <c r="J68"/>
    </row>
    <row r="69" spans="2:11" ht="15.75" x14ac:dyDescent="0.25">
      <c r="C69" s="4" t="s">
        <v>239</v>
      </c>
      <c r="G69" s="15"/>
      <c r="H69"/>
      <c r="I69"/>
      <c r="J69"/>
    </row>
    <row r="70" spans="2:11" ht="15.75" x14ac:dyDescent="0.25">
      <c r="G70" s="15"/>
      <c r="H70" s="17"/>
      <c r="I70" s="18"/>
      <c r="J70"/>
    </row>
    <row r="71" spans="2:11" ht="15.75" x14ac:dyDescent="0.25">
      <c r="B71" s="4" t="s">
        <v>54</v>
      </c>
      <c r="C71" s="4" t="b">
        <v>0</v>
      </c>
      <c r="D71" s="4" t="s">
        <v>57</v>
      </c>
      <c r="G71" s="15"/>
      <c r="H71"/>
      <c r="I71"/>
      <c r="J71"/>
    </row>
  </sheetData>
  <mergeCells count="5">
    <mergeCell ref="B1:E1"/>
    <mergeCell ref="C2:E2"/>
    <mergeCell ref="C3:E3"/>
    <mergeCell ref="C4:E4"/>
    <mergeCell ref="C5:E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showGridLines="0" tabSelected="1" zoomScaleNormal="100" workbookViewId="0">
      <selection activeCell="E46" sqref="E46"/>
    </sheetView>
  </sheetViews>
  <sheetFormatPr baseColWidth="10" defaultColWidth="11.5703125" defaultRowHeight="14.25" x14ac:dyDescent="0.2"/>
  <cols>
    <col min="1" max="1" width="5.5703125" style="3" customWidth="1"/>
    <col min="2" max="2" width="14.5703125" style="4" customWidth="1"/>
    <col min="3" max="3" width="27.140625" style="4" customWidth="1"/>
    <col min="4" max="4" width="16.5703125" style="4" customWidth="1"/>
    <col min="5" max="5" width="18.5703125" style="4" customWidth="1"/>
    <col min="6" max="6" width="15.28515625" style="4" customWidth="1"/>
    <col min="7" max="7" width="13.28515625" style="4" customWidth="1"/>
    <col min="8" max="8" width="16.140625" style="4" customWidth="1"/>
    <col min="9" max="9" width="15.7109375" style="4" customWidth="1"/>
    <col min="10" max="11" width="14.42578125" style="4" bestFit="1" customWidth="1"/>
    <col min="12" max="12" width="11.5703125" style="4"/>
    <col min="13" max="13" width="13.42578125" style="4" customWidth="1"/>
    <col min="14" max="15" width="11.5703125" style="4"/>
    <col min="16" max="16" width="16.140625" style="4" customWidth="1"/>
    <col min="17" max="16384" width="11.5703125" style="4"/>
  </cols>
  <sheetData>
    <row r="1" spans="1:11" ht="18.75" x14ac:dyDescent="0.3">
      <c r="B1" s="177" t="s">
        <v>0</v>
      </c>
      <c r="C1" s="177"/>
      <c r="D1" s="177"/>
      <c r="E1" s="178"/>
    </row>
    <row r="2" spans="1:11" ht="18.75" x14ac:dyDescent="0.3">
      <c r="B2" s="10" t="s">
        <v>7</v>
      </c>
      <c r="C2" s="179" t="s">
        <v>19</v>
      </c>
      <c r="D2" s="180"/>
      <c r="E2" s="181"/>
    </row>
    <row r="3" spans="1:11" ht="18.75" x14ac:dyDescent="0.3">
      <c r="B3" s="11" t="s">
        <v>8</v>
      </c>
      <c r="C3" s="182" t="s">
        <v>9</v>
      </c>
      <c r="D3" s="183"/>
      <c r="E3" s="184"/>
    </row>
    <row r="4" spans="1:11" ht="18.75" x14ac:dyDescent="0.3">
      <c r="B4" s="11" t="s">
        <v>10</v>
      </c>
      <c r="C4" s="185" t="s">
        <v>11</v>
      </c>
      <c r="D4" s="186"/>
      <c r="E4" s="187"/>
    </row>
    <row r="5" spans="1:11" ht="18.75" x14ac:dyDescent="0.3">
      <c r="B5" s="12" t="s">
        <v>20</v>
      </c>
      <c r="C5" s="188" t="s">
        <v>21</v>
      </c>
      <c r="D5" s="189"/>
      <c r="E5" s="190"/>
    </row>
    <row r="7" spans="1:11" ht="15.75" x14ac:dyDescent="0.25">
      <c r="B7" s="13" t="s">
        <v>15</v>
      </c>
    </row>
    <row r="8" spans="1:11" ht="15.75" x14ac:dyDescent="0.25">
      <c r="B8" s="14" t="s">
        <v>12</v>
      </c>
    </row>
    <row r="9" spans="1:11" ht="15.75" x14ac:dyDescent="0.25">
      <c r="B9" s="15" t="s">
        <v>13</v>
      </c>
    </row>
    <row r="10" spans="1:11" ht="15.75" x14ac:dyDescent="0.25">
      <c r="B10" s="15" t="s">
        <v>14</v>
      </c>
    </row>
    <row r="11" spans="1:11" ht="15.75" x14ac:dyDescent="0.25">
      <c r="B11" s="15" t="s">
        <v>3</v>
      </c>
    </row>
    <row r="12" spans="1:11" ht="18" customHeight="1" x14ac:dyDescent="0.25">
      <c r="B12" s="2"/>
      <c r="C12" s="2"/>
      <c r="D12" s="2"/>
      <c r="E12" s="7"/>
      <c r="F12" s="7"/>
      <c r="G12" s="7"/>
      <c r="H12" s="7"/>
    </row>
    <row r="13" spans="1:11" ht="15.75" x14ac:dyDescent="0.25">
      <c r="B13" s="1"/>
      <c r="C13" s="1"/>
      <c r="D13" s="1"/>
      <c r="F13" s="13"/>
      <c r="G13"/>
      <c r="H13"/>
      <c r="I13"/>
      <c r="J13"/>
    </row>
    <row r="14" spans="1:11" ht="15.75" x14ac:dyDescent="0.25">
      <c r="A14" s="5" t="s">
        <v>41</v>
      </c>
      <c r="C14" s="4" t="s">
        <v>188</v>
      </c>
      <c r="F14" s="1" t="s">
        <v>189</v>
      </c>
      <c r="H14" s="15"/>
      <c r="I14" s="9"/>
      <c r="J14"/>
      <c r="K14"/>
    </row>
    <row r="15" spans="1:11" ht="15" x14ac:dyDescent="0.25">
      <c r="A15" s="5"/>
      <c r="I15" s="3"/>
    </row>
    <row r="16" spans="1:11" ht="15" x14ac:dyDescent="0.25">
      <c r="A16" s="5"/>
      <c r="C16" s="1" t="s">
        <v>5</v>
      </c>
      <c r="D16" s="171">
        <v>12000000</v>
      </c>
      <c r="E16" s="3"/>
      <c r="I16" s="3"/>
    </row>
    <row r="17" spans="1:10" ht="15.75" x14ac:dyDescent="0.25">
      <c r="A17" s="4"/>
      <c r="C17" s="4" t="s">
        <v>190</v>
      </c>
      <c r="D17" s="172">
        <v>0.25</v>
      </c>
      <c r="E17" s="3"/>
      <c r="I17" s="3"/>
      <c r="J17" s="114"/>
    </row>
    <row r="18" spans="1:10" x14ac:dyDescent="0.2">
      <c r="A18" s="4"/>
      <c r="C18" s="32" t="s">
        <v>191</v>
      </c>
      <c r="D18" s="144">
        <f>+D16*D17</f>
        <v>3000000</v>
      </c>
      <c r="E18" s="115"/>
      <c r="I18" s="3"/>
    </row>
    <row r="19" spans="1:10" ht="15" x14ac:dyDescent="0.25">
      <c r="A19" s="4"/>
      <c r="C19" s="32" t="s">
        <v>192</v>
      </c>
      <c r="D19" s="173">
        <v>90</v>
      </c>
      <c r="E19" s="116"/>
      <c r="I19" s="3"/>
    </row>
    <row r="20" spans="1:10" ht="15" x14ac:dyDescent="0.25">
      <c r="A20" s="4"/>
      <c r="C20" s="32" t="s">
        <v>193</v>
      </c>
      <c r="D20" s="174">
        <v>3.355</v>
      </c>
      <c r="E20" s="174">
        <v>3.3570000000000002</v>
      </c>
      <c r="I20" s="3"/>
    </row>
    <row r="21" spans="1:10" ht="15" x14ac:dyDescent="0.25">
      <c r="A21" s="4"/>
      <c r="C21" s="32" t="s">
        <v>194</v>
      </c>
      <c r="D21" s="173">
        <v>90</v>
      </c>
      <c r="E21" s="173">
        <v>100</v>
      </c>
      <c r="G21" s="118"/>
      <c r="I21" s="119"/>
    </row>
    <row r="22" spans="1:10" ht="15" x14ac:dyDescent="0.25">
      <c r="A22" s="4"/>
      <c r="C22" s="32" t="s">
        <v>195</v>
      </c>
      <c r="D22" s="175">
        <v>1.4999999999999999E-2</v>
      </c>
      <c r="E22" s="120"/>
      <c r="G22" s="108"/>
      <c r="I22" s="3"/>
    </row>
    <row r="23" spans="1:10" ht="15" x14ac:dyDescent="0.25">
      <c r="A23" s="4"/>
      <c r="C23" s="32" t="s">
        <v>196</v>
      </c>
      <c r="D23" s="175">
        <v>3.4000000000000002E-2</v>
      </c>
      <c r="E23" s="115"/>
      <c r="G23" s="108"/>
      <c r="I23" s="3"/>
    </row>
    <row r="24" spans="1:10" x14ac:dyDescent="0.2">
      <c r="A24" s="4"/>
      <c r="C24" s="32" t="s">
        <v>197</v>
      </c>
      <c r="D24" s="117">
        <f>+D20+D21/10000</f>
        <v>3.3639999999999999</v>
      </c>
      <c r="E24" s="117">
        <f>+E20+E21/10000</f>
        <v>3.367</v>
      </c>
      <c r="I24" s="3"/>
    </row>
    <row r="25" spans="1:10" x14ac:dyDescent="0.2">
      <c r="A25" s="4"/>
      <c r="C25" s="32" t="s">
        <v>198</v>
      </c>
      <c r="D25" s="121">
        <f>+(E24/E20)^(360/D19)-1</f>
        <v>1.1968747755761067E-2</v>
      </c>
      <c r="E25" s="122"/>
      <c r="G25" s="108"/>
      <c r="I25" s="3"/>
    </row>
    <row r="26" spans="1:10" ht="15" x14ac:dyDescent="0.25">
      <c r="A26" s="4"/>
      <c r="C26" s="1"/>
      <c r="D26" s="123"/>
      <c r="E26" s="123"/>
      <c r="I26" s="3"/>
    </row>
    <row r="27" spans="1:10" ht="15" x14ac:dyDescent="0.25">
      <c r="A27" s="4"/>
      <c r="C27" s="1"/>
      <c r="D27" s="163" t="s">
        <v>199</v>
      </c>
      <c r="E27" s="164"/>
      <c r="F27" s="163" t="s">
        <v>1</v>
      </c>
      <c r="G27" s="165"/>
      <c r="I27" s="3"/>
    </row>
    <row r="28" spans="1:10" ht="15" x14ac:dyDescent="0.25">
      <c r="A28" s="4"/>
      <c r="C28" s="1"/>
      <c r="D28" s="166" t="s">
        <v>200</v>
      </c>
      <c r="E28" s="166" t="s">
        <v>201</v>
      </c>
      <c r="F28" s="167" t="s">
        <v>200</v>
      </c>
      <c r="G28" s="167" t="s">
        <v>201</v>
      </c>
      <c r="I28" s="3"/>
    </row>
    <row r="29" spans="1:10" ht="15" x14ac:dyDescent="0.25">
      <c r="A29" s="4"/>
      <c r="C29" s="1" t="s">
        <v>202</v>
      </c>
      <c r="D29" s="144">
        <f>-D18</f>
        <v>-3000000</v>
      </c>
      <c r="E29" s="125"/>
      <c r="F29" s="144">
        <f>-D29*(1+D22)^(D19/360)</f>
        <v>3011187.2668142789</v>
      </c>
      <c r="G29" s="125"/>
      <c r="H29" s="147">
        <f>+F29+D29</f>
        <v>11187.266814278904</v>
      </c>
      <c r="I29" s="17">
        <v>0.5</v>
      </c>
      <c r="J29" s="18" t="s">
        <v>203</v>
      </c>
    </row>
    <row r="30" spans="1:10" ht="15" x14ac:dyDescent="0.25">
      <c r="A30" s="4"/>
      <c r="C30" s="1"/>
      <c r="D30" s="126"/>
      <c r="E30" s="127"/>
      <c r="F30" s="128"/>
      <c r="G30" s="128"/>
      <c r="I30" s="3"/>
    </row>
    <row r="31" spans="1:10" x14ac:dyDescent="0.2">
      <c r="A31" s="4"/>
      <c r="B31" s="3" t="s">
        <v>60</v>
      </c>
      <c r="C31" s="128" t="s">
        <v>204</v>
      </c>
      <c r="D31" s="145">
        <f>-D18</f>
        <v>-3000000</v>
      </c>
      <c r="E31" s="145">
        <f>+-D31*D20</f>
        <v>10065000</v>
      </c>
      <c r="F31" s="129"/>
      <c r="G31" s="129"/>
      <c r="I31" s="17">
        <v>1</v>
      </c>
      <c r="J31" s="18" t="s">
        <v>205</v>
      </c>
    </row>
    <row r="32" spans="1:10" x14ac:dyDescent="0.2">
      <c r="A32" s="4"/>
      <c r="B32" s="3" t="s">
        <v>179</v>
      </c>
      <c r="C32" s="130" t="s">
        <v>206</v>
      </c>
      <c r="D32" s="131"/>
      <c r="E32" s="146">
        <f>-E31</f>
        <v>-10065000</v>
      </c>
      <c r="F32" s="132"/>
      <c r="G32" s="146">
        <f>-E32*(1+D23)^(D19/360)</f>
        <v>10149482.846574217</v>
      </c>
      <c r="I32" s="3"/>
    </row>
    <row r="33" spans="1:11" ht="15" x14ac:dyDescent="0.25">
      <c r="A33" s="4"/>
      <c r="B33" s="3" t="s">
        <v>207</v>
      </c>
      <c r="C33" s="130" t="s">
        <v>208</v>
      </c>
      <c r="D33" s="133"/>
      <c r="E33" s="133"/>
      <c r="F33" s="146">
        <f>+G32/E24</f>
        <v>3014399.4198319623</v>
      </c>
      <c r="G33" s="146">
        <f>-G32</f>
        <v>-10149482.846574217</v>
      </c>
      <c r="I33" s="134"/>
    </row>
    <row r="34" spans="1:11" ht="15" x14ac:dyDescent="0.25">
      <c r="A34" s="4"/>
      <c r="C34" s="124" t="s">
        <v>209</v>
      </c>
      <c r="D34" s="144">
        <f>+D31</f>
        <v>-3000000</v>
      </c>
      <c r="E34" s="135">
        <f t="shared" ref="E34:G34" si="0">+SUM(E31:E33)</f>
        <v>0</v>
      </c>
      <c r="F34" s="144">
        <f>+F33</f>
        <v>3014399.4198319623</v>
      </c>
      <c r="G34" s="135">
        <f t="shared" si="0"/>
        <v>0</v>
      </c>
      <c r="H34" s="147">
        <f>+F34+D34</f>
        <v>14399.419831962325</v>
      </c>
      <c r="I34" s="17">
        <v>0.5</v>
      </c>
      <c r="J34" s="18" t="s">
        <v>271</v>
      </c>
    </row>
    <row r="35" spans="1:11" ht="15" x14ac:dyDescent="0.25">
      <c r="B35" s="3"/>
      <c r="C35" s="136" t="s">
        <v>210</v>
      </c>
      <c r="D35" s="3"/>
      <c r="E35" s="137"/>
      <c r="F35" s="3"/>
      <c r="G35" s="3"/>
      <c r="H35" s="138">
        <f>(F34/D18)^(360/D19)-1</f>
        <v>1.9337898148904076E-2</v>
      </c>
      <c r="I35" s="17"/>
      <c r="J35" s="17"/>
      <c r="K35" s="3"/>
    </row>
    <row r="36" spans="1:11" x14ac:dyDescent="0.2">
      <c r="A36" s="4"/>
      <c r="C36" s="4" t="s">
        <v>211</v>
      </c>
      <c r="I36" s="3"/>
    </row>
    <row r="37" spans="1:11" x14ac:dyDescent="0.2">
      <c r="A37" s="4"/>
      <c r="C37" s="4" t="s">
        <v>249</v>
      </c>
      <c r="I37" s="17">
        <v>0.5</v>
      </c>
      <c r="J37" s="18" t="s">
        <v>212</v>
      </c>
      <c r="K37" s="18"/>
    </row>
    <row r="38" spans="1:11" x14ac:dyDescent="0.2">
      <c r="A38" s="4"/>
      <c r="I38" s="3"/>
    </row>
    <row r="39" spans="1:11" x14ac:dyDescent="0.2">
      <c r="A39" s="4"/>
      <c r="C39" s="4" t="s">
        <v>213</v>
      </c>
      <c r="I39" s="3"/>
    </row>
    <row r="40" spans="1:11" ht="15" x14ac:dyDescent="0.25">
      <c r="A40" s="4"/>
      <c r="C40" s="5" t="s">
        <v>214</v>
      </c>
      <c r="G40" s="139"/>
      <c r="H40" s="140">
        <f>+((D20/E24)^(360/D19))*(1+D23)-1</f>
        <v>1.9337898148903854E-2</v>
      </c>
      <c r="I40" s="3"/>
    </row>
    <row r="41" spans="1:11" x14ac:dyDescent="0.2">
      <c r="I41" s="3"/>
    </row>
    <row r="42" spans="1:11" ht="15" x14ac:dyDescent="0.25">
      <c r="A42" s="5" t="s">
        <v>43</v>
      </c>
      <c r="C42" s="1" t="s">
        <v>215</v>
      </c>
      <c r="I42" s="3"/>
    </row>
    <row r="43" spans="1:11" x14ac:dyDescent="0.2">
      <c r="C43" s="168" t="s">
        <v>216</v>
      </c>
      <c r="D43" s="169" t="s">
        <v>217</v>
      </c>
      <c r="E43" s="169" t="s">
        <v>218</v>
      </c>
      <c r="F43" s="170" t="s">
        <v>219</v>
      </c>
      <c r="I43" s="17"/>
      <c r="J43" s="18"/>
    </row>
    <row r="44" spans="1:11" ht="15" x14ac:dyDescent="0.25">
      <c r="C44" s="141" t="s">
        <v>5</v>
      </c>
      <c r="D44" s="148">
        <f>+D16</f>
        <v>12000000</v>
      </c>
      <c r="E44" s="150">
        <f>+D31</f>
        <v>-3000000</v>
      </c>
      <c r="F44" s="153">
        <f>+D44+E44</f>
        <v>9000000</v>
      </c>
      <c r="G44" s="142"/>
      <c r="I44" s="17">
        <v>0.5</v>
      </c>
      <c r="J44" s="18" t="s">
        <v>224</v>
      </c>
    </row>
    <row r="45" spans="1:11" x14ac:dyDescent="0.2">
      <c r="C45" s="141" t="s">
        <v>220</v>
      </c>
      <c r="D45" s="149">
        <f>+D46-D44</f>
        <v>6000000</v>
      </c>
      <c r="E45" s="151">
        <f>F33</f>
        <v>3014399.4198319623</v>
      </c>
      <c r="F45" s="154">
        <f t="shared" ref="F45:F46" si="1">+D45+E45</f>
        <v>9014399.4198319614</v>
      </c>
      <c r="I45" s="17">
        <v>0.5</v>
      </c>
      <c r="J45" s="18" t="s">
        <v>225</v>
      </c>
    </row>
    <row r="46" spans="1:11" ht="15" x14ac:dyDescent="0.25">
      <c r="C46" s="143" t="s">
        <v>6</v>
      </c>
      <c r="D46" s="176">
        <v>18000000</v>
      </c>
      <c r="E46" s="152">
        <f>+E44+E45</f>
        <v>14399.419831962325</v>
      </c>
      <c r="F46" s="155">
        <f t="shared" si="1"/>
        <v>18014399.419831961</v>
      </c>
      <c r="I46" s="17">
        <v>0.5</v>
      </c>
      <c r="J46" s="18" t="s">
        <v>226</v>
      </c>
    </row>
    <row r="48" spans="1:11" x14ac:dyDescent="0.2">
      <c r="C48" s="4" t="s">
        <v>221</v>
      </c>
    </row>
    <row r="49" spans="3:9" x14ac:dyDescent="0.2">
      <c r="C49" s="4" t="s">
        <v>222</v>
      </c>
    </row>
    <row r="50" spans="3:9" ht="15" x14ac:dyDescent="0.25">
      <c r="C50" s="4" t="s">
        <v>223</v>
      </c>
      <c r="H50" s="142"/>
      <c r="I50" s="142"/>
    </row>
  </sheetData>
  <mergeCells count="5">
    <mergeCell ref="B1:E1"/>
    <mergeCell ref="C2:E2"/>
    <mergeCell ref="C3:E3"/>
    <mergeCell ref="C4:E4"/>
    <mergeCell ref="C5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Preg 1</vt:lpstr>
      <vt:lpstr>Preg 2</vt:lpstr>
      <vt:lpstr>Preg 3</vt:lpstr>
      <vt:lpstr>Preg 4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Guevara, Diego Alonso</dc:creator>
  <cp:lastModifiedBy>Humala Acuna, Alberto  Vasily</cp:lastModifiedBy>
  <dcterms:created xsi:type="dcterms:W3CDTF">2015-08-24T22:55:52Z</dcterms:created>
  <dcterms:modified xsi:type="dcterms:W3CDTF">2026-09-29T16:27:52Z</dcterms:modified>
</cp:coreProperties>
</file>